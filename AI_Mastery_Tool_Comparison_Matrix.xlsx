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Guide" sheetId="1" state="visible" r:id="rId3"/>
    <sheet name="⚖️ Scoring Matrix" sheetId="2" state="visible" r:id="rId4"/>
    <sheet name="📊 Tool Profiles" sheetId="3" state="visible" r:id="rId5"/>
    <sheet name="🏆 My Recommend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<sst xmlns="http://schemas.openxmlformats.org/spreadsheetml/2006/main" count="149" uniqueCount="136">
  <si>
    <t xml:space="preserve">AI TOOL COMPARISON MATRIX</t>
  </si>
  <si>
    <t xml:space="preserve">AI-Powered Process Automation for Business Operations  |  Participant Tool</t>
  </si>
  <si>
    <t xml:space="preserve">HOW TO USE THIS TOOL</t>
  </si>
  <si>
    <t xml:space="preserve">STEP 1</t>
  </si>
  <si>
    <t xml:space="preserve">Go to '⚖️ Scoring Matrix'. Review each evaluation criterion and its weighting.</t>
  </si>
  <si>
    <t xml:space="preserve">STEP 2</t>
  </si>
  <si>
    <t xml:space="preserve">In the BLUE cells, enter your company's context (use case, budget, team size, etc.).</t>
  </si>
  <si>
    <t xml:space="preserve">STEP 3</t>
  </si>
  <si>
    <t xml:space="preserve">Rate each tool from 1–5 for each criterion. Ratings are your professional judgement.</t>
  </si>
  <si>
    <t xml:space="preserve">STEP 4</t>
  </si>
  <si>
    <t xml:space="preserve">Weighted scores are calculated automatically. The highest score = recommended tool.</t>
  </si>
  <si>
    <t xml:space="preserve">STEP 5</t>
  </si>
  <si>
    <t xml:space="preserve">Visit '📊 Tool Profiles' to read a detailed profile of each platform.</t>
  </si>
  <si>
    <t xml:space="preserve">STEP 6</t>
  </si>
  <si>
    <t xml:space="preserve">Review your final recommendation in '🏆 My Recommendation' and print to share.</t>
  </si>
  <si>
    <t xml:space="preserve">EVALUATION CRITERIA EXPLAINED</t>
  </si>
  <si>
    <t xml:space="preserve">Ease of Use (20%)</t>
  </si>
  <si>
    <t xml:space="preserve">How quickly can non-technical staff learn and use the tool independently?</t>
  </si>
  <si>
    <t xml:space="preserve">Integration Fit (25%)</t>
  </si>
  <si>
    <t xml:space="preserve">How well does the tool connect to your existing systems (M365, ERP, CRM, databases)?</t>
  </si>
  <si>
    <t xml:space="preserve">AI / ML Capability (20%)</t>
  </si>
  <si>
    <t xml:space="preserve">Depth of AI features: NLP, document understanding, predictions, generative AI.</t>
  </si>
  <si>
    <t xml:space="preserve">Security &amp; Compliance (15%)</t>
  </si>
  <si>
    <t xml:space="preserve">Data encryption, access control, PDPA/GDPR readiness, audit logging.</t>
  </si>
  <si>
    <t xml:space="preserve">Cost Effectiveness (10%)</t>
  </si>
  <si>
    <t xml:space="preserve">Total cost of ownership relative to expected value delivered.</t>
  </si>
  <si>
    <t xml:space="preserve">Vendor Support (10%)</t>
  </si>
  <si>
    <t xml:space="preserve">Quality of local support, documentation, community, and training resources.</t>
  </si>
  <si>
    <t xml:space="preserve">Fakhrul Syahmi | Data Consultant &amp; Certified Trainer | mufasyahcons@gmail.com | © 2026</t>
  </si>
  <si>
    <t xml:space="preserve">⚖️  AI TOOL SCORING MATRIX — Score Each Tool 1–5 Per Criterion</t>
  </si>
  <si>
    <t xml:space="preserve">Rate each tool from 1 (Poor) to 5 (Excellent) for each criterion below. Weighted score = rating × weight.</t>
  </si>
  <si>
    <t xml:space="preserve">YOUR COMPANY CONTEXT (Fill in these details first)</t>
  </si>
  <si>
    <t xml:space="preserve">Company / Organisation Name</t>
  </si>
  <si>
    <t xml:space="preserve">Primary Use Case / Process</t>
  </si>
  <si>
    <t xml:space="preserve">Current Main System</t>
  </si>
  <si>
    <t xml:space="preserve">Criterion</t>
  </si>
  <si>
    <t xml:space="preserve">Weight</t>
  </si>
  <si>
    <t xml:space="preserve">Rating
Guide</t>
  </si>
  <si>
    <t xml:space="preserve">Power Automate</t>
  </si>
  <si>
    <t xml:space="preserve">UiPath</t>
  </si>
  <si>
    <t xml:space="preserve">Auto Anywhere</t>
  </si>
  <si>
    <t xml:space="preserve">MS Copilot</t>
  </si>
  <si>
    <t xml:space="preserve">Zapier</t>
  </si>
  <si>
    <t xml:space="preserve">Make.com</t>
  </si>
  <si>
    <t xml:space="preserve">Best Tool</t>
  </si>
  <si>
    <t xml:space="preserve">Ease of Use</t>
  </si>
  <si>
    <t xml:space="preserve">1=Requires developers
5=Fully no-code</t>
  </si>
  <si>
    <t xml:space="preserve">Integration Fit</t>
  </si>
  <si>
    <t xml:space="preserve">1=No connectors
5=Native to your systems</t>
  </si>
  <si>
    <t xml:space="preserve">AI / ML Capability</t>
  </si>
  <si>
    <t xml:space="preserve">1=Basic automation only
5=Full AI/NLP/GenAI</t>
  </si>
  <si>
    <t xml:space="preserve">Security &amp; Compliance</t>
  </si>
  <si>
    <t xml:space="preserve">1=No compliance certs
5=SOC2,GDPR,PDPA ready</t>
  </si>
  <si>
    <t xml:space="preserve">Cost Effectiveness</t>
  </si>
  <si>
    <t xml:space="preserve">1=Very expensive
5=Best value for money</t>
  </si>
  <si>
    <t xml:space="preserve">Vendor Support</t>
  </si>
  <si>
    <t xml:space="preserve">1=Community only
5=24/7 local support</t>
  </si>
  <si>
    <t xml:space="preserve">WEIGHTED TOTAL SCORE</t>
  </si>
  <si>
    <t xml:space="preserve">Max possible = 5.00</t>
  </si>
  <si>
    <t xml:space="preserve">SCORE INTERPRETATION:  4.00–5.00 = Excellent fit  |  3.00–3.99 = Good fit  |  2.00–2.99 = Partial fit  |  Below 2.00 = Poor fit</t>
  </si>
  <si>
    <t xml:space="preserve">📊  AI TOOL PROFILES — Detailed Reference Guide</t>
  </si>
  <si>
    <t xml:space="preserve">Use this sheet to understand each platform before scoring. Data is indicative — verify with vendor for latest pricing.</t>
  </si>
  <si>
    <t xml:space="preserve">ATTRIBUTE</t>
  </si>
  <si>
    <t xml:space="preserve">Automation
Anywhere</t>
  </si>
  <si>
    <t xml:space="preserve">Microsoft Copilot</t>
  </si>
  <si>
    <t xml:space="preserve">Best For</t>
  </si>
  <si>
    <t xml:space="preserve">Microsoft 365 orgs wanting low-code automation</t>
  </si>
  <si>
    <t xml:space="preserve">Enterprise RPA with complex process automation</t>
  </si>
  <si>
    <t xml:space="preserve">Large enterprise — SAP, Oracle, legacy systems</t>
  </si>
  <si>
    <t xml:space="preserve">AI-augmented knowledge work &amp; document creation</t>
  </si>
  <si>
    <t xml:space="preserve">SMEs connecting 5,000+ apps with simple flows</t>
  </si>
  <si>
    <t xml:space="preserve">Mid-market teams wanting visual automation</t>
  </si>
  <si>
    <t xml:space="preserve">Technical Skill Required</t>
  </si>
  <si>
    <t xml:space="preserve">Low — drag-and-drop, no coding needed</t>
  </si>
  <si>
    <t xml:space="preserve">Low–Medium — some scripting helpful</t>
  </si>
  <si>
    <t xml:space="preserve">Low–Medium — visual designer + scripting</t>
  </si>
  <si>
    <t xml:space="preserve">Very Low — conversational AI interface</t>
  </si>
  <si>
    <t xml:space="preserve">Very Low — visual flow builder</t>
  </si>
  <si>
    <t xml:space="preserve">Low — visual scenario builder</t>
  </si>
  <si>
    <t xml:space="preserve">AI / Automation Type</t>
  </si>
  <si>
    <t xml:space="preserve">Cloud flows, desktop RPA, AI Builder, Copilot</t>
  </si>
  <si>
    <t xml:space="preserve">RPA bots, AI Computer Vision, Document AI</t>
  </si>
  <si>
    <t xml:space="preserve">RPA bots, IQ Bot (AI document processing)</t>
  </si>
  <si>
    <t xml:space="preserve">Generative AI, Copilot Studio chatbots, M365</t>
  </si>
  <si>
    <t xml:space="preserve">Event-based triggers, multi-step Zaps</t>
  </si>
  <si>
    <t xml:space="preserve">Scenario-based flows, HTTP requests, AI modules</t>
  </si>
  <si>
    <t xml:space="preserve">Integration Ecosystem</t>
  </si>
  <si>
    <t xml:space="preserve">1,000+ connectors, native M365, SharePoint, Teams</t>
  </si>
  <si>
    <t xml:space="preserve">Broad: SAP, Salesforce, Oracle, ServiceNow</t>
  </si>
  <si>
    <t xml:space="preserve">SAP, Oracle, Mainframe, custom connectors</t>
  </si>
  <si>
    <t xml:space="preserve">Microsoft 365 native: Word, Excel, Outlook, Teams</t>
  </si>
  <si>
    <t xml:space="preserve">5,000+ apps: Gmail, Slack, Trello, Shopify</t>
  </si>
  <si>
    <t xml:space="preserve">1,000+ apps: Google Workspace, Notion, Slack</t>
  </si>
  <si>
    <t xml:space="preserve">Pricing (approx 2024)</t>
  </si>
  <si>
    <t xml:space="preserve">From USD 15/user/mo (M365 bundle discounts apply)</t>
  </si>
  <si>
    <t xml:space="preserve">Enterprise pricing — contact sales (USD 3K–30K+/yr)</t>
  </si>
  <si>
    <t xml:space="preserve">Enterprise pricing — contact sales (USD 5K+/yr)</t>
  </si>
  <si>
    <t xml:space="preserve">From USD 30/user/mo (M365 E3/E5 bundles)</t>
  </si>
  <si>
    <t xml:space="preserve">Free tier; paid from USD 20/mo (2K tasks/mo)</t>
  </si>
  <si>
    <t xml:space="preserve">Free tier; paid from USD 9/mo (1K ops/mo)</t>
  </si>
  <si>
    <t xml:space="preserve">Azure AD, SOC 2, ISO 27001, GDPR, PDPA ready</t>
  </si>
  <si>
    <t xml:space="preserve">SOC 2 Type II, GDPR, FedRAMP (US Gov)</t>
  </si>
  <si>
    <t xml:space="preserve">SOC 2, FedRAMP, GDPR, HIPAA (healthcare)</t>
  </si>
  <si>
    <t xml:space="preserve">Microsoft Trust Center, ISO 27001, PDPA ready</t>
  </si>
  <si>
    <t xml:space="preserve">SOC 2 Type II, GDPR, Privacy Shield</t>
  </si>
  <si>
    <t xml:space="preserve">ISO 27001, GDPR, SOC 2 (Enterprise tier)</t>
  </si>
  <si>
    <t xml:space="preserve">Learning Resources</t>
  </si>
  <si>
    <t xml:space="preserve">Microsoft Learn (free), YouTube, community forums</t>
  </si>
  <si>
    <t xml:space="preserve">UiPath Academy (free certification courses)</t>
  </si>
  <si>
    <t xml:space="preserve">Automation Anywhere University (free courses)</t>
  </si>
  <si>
    <t xml:space="preserve">Microsoft Copilot documentation, Prompt guides</t>
  </si>
  <si>
    <t xml:space="preserve">Zapier University, extensive documentation</t>
  </si>
  <si>
    <t xml:space="preserve">Make Academy, active community forum</t>
  </si>
  <si>
    <t xml:space="preserve">Free Trial / Free Tier</t>
  </si>
  <si>
    <t xml:space="preserve">90-day free trial; free tier with M365</t>
  </si>
  <si>
    <t xml:space="preserve">Community Edition (free for individual use)</t>
  </si>
  <si>
    <t xml:space="preserve">Copilot free tier in M365 personal</t>
  </si>
  <si>
    <t xml:space="preserve">Free plan: 100 tasks/month, 5 Zaps</t>
  </si>
  <si>
    <t xml:space="preserve">Free plan: 1,000 ops/month, limited scenarios</t>
  </si>
  <si>
    <t xml:space="preserve">Recommended For This Training</t>
  </si>
  <si>
    <t xml:space="preserve">★★★★★ Best for most Malaysian organisations</t>
  </si>
  <si>
    <t xml:space="preserve">★★★★☆ Best for enterprise-scale automation</t>
  </si>
  <si>
    <t xml:space="preserve">★★★☆☆ Best for large ERP-heavy organisations</t>
  </si>
  <si>
    <t xml:space="preserve">★★★★☆ Best for knowledge worker productivity</t>
  </si>
  <si>
    <t xml:space="preserve">★★★☆☆ Best for SMEs and quick app integrations</t>
  </si>
  <si>
    <t xml:space="preserve">★★★☆☆ Good alternative to Zapier, more flexible</t>
  </si>
  <si>
    <t xml:space="preserve">🏆  MY AI TOOL RECOMMENDATION</t>
  </si>
  <si>
    <t xml:space="preserve">Auto-generated from your Scoring Matrix  |  Print or share with management</t>
  </si>
  <si>
    <t xml:space="preserve">RECOMMENDED TOOL</t>
  </si>
  <si>
    <t xml:space="preserve">ALL TOOLS — SCORE SUMMARY</t>
  </si>
  <si>
    <t xml:space="preserve">MY SELECTION JUSTIFICATION (Fill this in)</t>
  </si>
  <si>
    <t xml:space="preserve">Primary reason for this choice:</t>
  </si>
  <si>
    <t xml:space="preserve">How it integrates with our existing systems:</t>
  </si>
  <si>
    <t xml:space="preserve">Expected implementation timeline:</t>
  </si>
  <si>
    <t xml:space="preserve">Estimated budget required:</t>
  </si>
  <si>
    <t xml:space="preserve">Name of person responsible for implementation: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</si>
</sst>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4A70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4A7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F4A7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9"/>
      <color rgb="FF107C10"/>
      <name val="Arial"/>
      <family val="0"/>
      <charset val="1"/>
    </font>
    <font>
      <i val="true"/>
      <sz val="9"/>
      <color rgb="FFD6E4F7"/>
      <name val="Arial"/>
      <family val="0"/>
      <charset val="1"/>
    </font>
    <font>
      <b val="true"/>
      <sz val="13"/>
      <color rgb="FF107C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1B3A6B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6"/>
      <color rgb="FFF4A70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4"/>
      <color rgb="FF107C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1A6B9E"/>
      </patternFill>
    </fill>
    <fill>
      <patternFill patternType="solid">
        <fgColor rgb="FFF4A700"/>
        <bgColor rgb="FFFFCC00"/>
      </patternFill>
    </fill>
    <fill>
      <patternFill patternType="solid">
        <fgColor rgb="FFD6E4F7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028090"/>
        <bgColor rgb="FF008080"/>
      </patternFill>
    </fill>
    <fill>
      <patternFill patternType="solid">
        <fgColor rgb="FF1A6B9E"/>
        <bgColor rgb="FF2E5FA3"/>
      </patternFill>
    </fill>
    <fill>
      <patternFill patternType="solid">
        <fgColor rgb="FFD46B08"/>
        <bgColor rgb="FF808000"/>
      </patternFill>
    </fill>
    <fill>
      <patternFill patternType="solid">
        <fgColor rgb="FF595959"/>
        <bgColor rgb="FF2E5FA3"/>
      </patternFill>
    </fill>
    <fill>
      <patternFill patternType="solid">
        <fgColor rgb="FF6A0DAD"/>
        <bgColor rgb="FF800080"/>
      </patternFill>
    </fill>
    <fill>
      <patternFill patternType="solid">
        <fgColor rgb="FFE8F5E9"/>
        <bgColor rgb="FFF5F5F5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B3A6B"/>
      </left>
      <right/>
      <top style="thin">
        <color rgb="FF1B3A6B"/>
      </top>
      <bottom style="thin">
        <color rgb="FF1B3A6B"/>
      </bottom>
      <diagonal/>
    </border>
    <border diagonalUp="false" diagonalDown="false"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 diagonalUp="false" diagonalDown="false">
      <left style="thin">
        <color rgb="FF1A6B9E"/>
      </left>
      <right style="thin">
        <color rgb="FF1A6B9E"/>
      </right>
      <top style="thin">
        <color rgb="FF1A6B9E"/>
      </top>
      <bottom style="thin">
        <color rgb="FF1A6B9E"/>
      </bottom>
      <diagonal/>
    </border>
    <border diagonalUp="false" diagonalDown="false"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  <border diagonalUp="false" diagonalDown="false">
      <left style="thin">
        <color rgb="FF028090"/>
      </left>
      <right style="thin">
        <color rgb="FF028090"/>
      </right>
      <top style="thin">
        <color rgb="FF028090"/>
      </top>
      <bottom style="thin">
        <color rgb="FF028090"/>
      </bottom>
      <diagonal/>
    </border>
    <border diagonalUp="false" diagonalDown="false">
      <left style="thin">
        <color rgb="FFD46B08"/>
      </left>
      <right style="thin">
        <color rgb="FFD46B08"/>
      </right>
      <top style="thin">
        <color rgb="FFD46B08"/>
      </top>
      <bottom style="thin">
        <color rgb="FFD46B08"/>
      </bottom>
      <diagonal/>
    </border>
    <border diagonalUp="false" diagonalDown="false"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 diagonalUp="false" diagonalDown="false">
      <left style="thin">
        <color rgb="FF6A0DAD"/>
      </left>
      <right style="thin">
        <color rgb="FF6A0DAD"/>
      </right>
      <top style="thin">
        <color rgb="FF6A0DAD"/>
      </top>
      <bottom style="thin">
        <color rgb="FF6A0DAD"/>
      </bottom>
      <diagonal/>
    </border>
    <border diagonalUp="false" diagonalDown="false">
      <left style="thin">
        <color rgb="FFF4A700"/>
      </left>
      <right style="thin">
        <color rgb="FFF4A700"/>
      </right>
      <top style="thin">
        <color rgb="FFF4A700"/>
      </top>
      <bottom style="thin">
        <color rgb="FFF4A700"/>
      </bottom>
      <diagonal/>
    </border>
    <border diagonalUp="false" diagonalDown="false">
      <left style="thin">
        <color rgb="FF107C10"/>
      </left>
      <right style="thin">
        <color rgb="FF107C10"/>
      </right>
      <top style="thin">
        <color rgb="FF107C10"/>
      </top>
      <bottom style="thin">
        <color rgb="FF107C10"/>
      </bottom>
      <diagonal/>
    </border>
    <border diagonalUp="false" diagonalDown="false">
      <left style="thin">
        <color rgb="FFF4A700"/>
      </left>
      <right/>
      <top style="thin">
        <color rgb="FFF4A700"/>
      </top>
      <bottom/>
      <diagonal/>
    </border>
    <border diagonalUp="false" diagonalDown="false">
      <left style="thin">
        <color rgb="FF107C10"/>
      </left>
      <right/>
      <top style="thin">
        <color rgb="FF107C1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6A0DAD"/>
      <rgbColor rgb="FF028090"/>
      <rgbColor rgb="FFCCCCCC"/>
      <rgbColor rgb="FF808080"/>
      <rgbColor rgb="FF9999FF"/>
      <rgbColor rgb="FF993366"/>
      <rgbColor rgb="FFF5F5F5"/>
      <rgbColor rgb="FFE8F5E9"/>
      <rgbColor rgb="FF660066"/>
      <rgbColor rgb="FFFF8080"/>
      <rgbColor rgb="FF1A6B9E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FA3"/>
      <rgbColor rgb="FF33CCCC"/>
      <rgbColor rgb="FF99CC00"/>
      <rgbColor rgb="FFFFCC00"/>
      <rgbColor rgb="FFF4A700"/>
      <rgbColor rgb="FFD46B08"/>
      <rgbColor rgb="FF59595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8" min="2" style="1" width="18"/>
  </cols>
  <sheetData>
    <row r="1" customFormat="false" ht="4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9.75" hidden="false" customHeight="true" outlineLevel="0" collapsed="false"/>
    <row r="4" customFormat="false" ht="30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5" t="s">
        <v>5</v>
      </c>
      <c r="B6" s="7" t="s">
        <v>6</v>
      </c>
      <c r="C6" s="7"/>
      <c r="D6" s="7"/>
      <c r="E6" s="7"/>
      <c r="F6" s="7"/>
      <c r="G6" s="7"/>
      <c r="H6" s="7"/>
    </row>
    <row r="7" customFormat="false" ht="27.75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  <c r="G7" s="6"/>
      <c r="H7" s="6"/>
    </row>
    <row r="8" customFormat="false" ht="27.75" hidden="false" customHeight="true" outlineLevel="0" collapsed="false">
      <c r="A8" s="5" t="s">
        <v>9</v>
      </c>
      <c r="B8" s="7" t="s">
        <v>10</v>
      </c>
      <c r="C8" s="7"/>
      <c r="D8" s="7"/>
      <c r="E8" s="7"/>
      <c r="F8" s="7"/>
      <c r="G8" s="7"/>
      <c r="H8" s="7"/>
    </row>
    <row r="9" customFormat="false" ht="27.75" hidden="false" customHeight="true" outlineLevel="0" collapsed="false">
      <c r="A9" s="5" t="s">
        <v>11</v>
      </c>
      <c r="B9" s="6" t="s">
        <v>12</v>
      </c>
      <c r="C9" s="6"/>
      <c r="D9" s="6"/>
      <c r="E9" s="6"/>
      <c r="F9" s="6"/>
      <c r="G9" s="6"/>
      <c r="H9" s="6"/>
    </row>
    <row r="10" customFormat="false" ht="27.75" hidden="false" customHeight="true" outlineLevel="0" collapsed="false">
      <c r="A10" s="5" t="s">
        <v>13</v>
      </c>
      <c r="B10" s="7" t="s">
        <v>14</v>
      </c>
      <c r="C10" s="7"/>
      <c r="D10" s="7"/>
      <c r="E10" s="7"/>
      <c r="F10" s="7"/>
      <c r="G10" s="7"/>
      <c r="H10" s="7"/>
    </row>
    <row r="11" customFormat="false" ht="9.75" hidden="false" customHeight="true" outlineLevel="0" collapsed="false"/>
    <row r="12" customFormat="false" ht="27.75" hidden="false" customHeight="true" outlineLevel="0" collapsed="false">
      <c r="A12" s="8" t="s">
        <v>15</v>
      </c>
      <c r="B12" s="8"/>
      <c r="C12" s="8"/>
      <c r="D12" s="8"/>
      <c r="E12" s="8"/>
      <c r="F12" s="8"/>
      <c r="G12" s="8"/>
      <c r="H12" s="8"/>
    </row>
    <row r="13" customFormat="false" ht="25.5" hidden="false" customHeight="true" outlineLevel="0" collapsed="false">
      <c r="A13" s="9" t="s">
        <v>16</v>
      </c>
      <c r="B13" s="9"/>
      <c r="C13" s="9"/>
      <c r="D13" s="10" t="s">
        <v>17</v>
      </c>
      <c r="E13" s="10"/>
      <c r="F13" s="10"/>
      <c r="G13" s="10"/>
      <c r="H13" s="10"/>
    </row>
    <row r="14" customFormat="false" ht="25.5" hidden="false" customHeight="true" outlineLevel="0" collapsed="false">
      <c r="A14" s="9" t="s">
        <v>18</v>
      </c>
      <c r="B14" s="9"/>
      <c r="C14" s="9"/>
      <c r="D14" s="11" t="s">
        <v>19</v>
      </c>
      <c r="E14" s="11"/>
      <c r="F14" s="11"/>
      <c r="G14" s="11"/>
      <c r="H14" s="11"/>
    </row>
    <row r="15" customFormat="false" ht="25.5" hidden="false" customHeight="true" outlineLevel="0" collapsed="false">
      <c r="A15" s="9" t="s">
        <v>20</v>
      </c>
      <c r="B15" s="9"/>
      <c r="C15" s="9"/>
      <c r="D15" s="10" t="s">
        <v>21</v>
      </c>
      <c r="E15" s="10"/>
      <c r="F15" s="10"/>
      <c r="G15" s="10"/>
      <c r="H15" s="10"/>
    </row>
    <row r="16" customFormat="false" ht="25.5" hidden="false" customHeight="true" outlineLevel="0" collapsed="false">
      <c r="A16" s="9" t="s">
        <v>22</v>
      </c>
      <c r="B16" s="9"/>
      <c r="C16" s="9"/>
      <c r="D16" s="11" t="s">
        <v>23</v>
      </c>
      <c r="E16" s="11"/>
      <c r="F16" s="11"/>
      <c r="G16" s="11"/>
      <c r="H16" s="11"/>
    </row>
    <row r="17" customFormat="false" ht="25.5" hidden="false" customHeight="true" outlineLevel="0" collapsed="false">
      <c r="A17" s="9" t="s">
        <v>24</v>
      </c>
      <c r="B17" s="9"/>
      <c r="C17" s="9"/>
      <c r="D17" s="10" t="s">
        <v>25</v>
      </c>
      <c r="E17" s="10"/>
      <c r="F17" s="10"/>
      <c r="G17" s="10"/>
      <c r="H17" s="10"/>
    </row>
    <row r="18" customFormat="false" ht="25.5" hidden="false" customHeight="true" outlineLevel="0" collapsed="false">
      <c r="A18" s="9" t="s">
        <v>26</v>
      </c>
      <c r="B18" s="9"/>
      <c r="C18" s="9"/>
      <c r="D18" s="11" t="s">
        <v>27</v>
      </c>
      <c r="E18" s="11"/>
      <c r="F18" s="11"/>
      <c r="G18" s="11"/>
      <c r="H18" s="11"/>
    </row>
    <row r="19" customFormat="false" ht="9.75" hidden="false" customHeight="true" outlineLevel="0" collapsed="false"/>
    <row r="20" customFormat="false" ht="15" hidden="false" customHeight="true" outlineLevel="0" collapsed="false">
      <c r="A20" s="12" t="s">
        <v>28</v>
      </c>
      <c r="B20" s="12"/>
      <c r="C20" s="12"/>
      <c r="D20" s="12"/>
      <c r="E20" s="12"/>
      <c r="F20" s="12"/>
      <c r="G20" s="12"/>
      <c r="H20" s="12"/>
    </row>
  </sheetData>
  <mergeCells count="23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A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700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9" min="4" style="1" width="14"/>
    <col collapsed="false" customWidth="true" hidden="false" outlineLevel="0" max="10" min="10" style="1" width="18"/>
  </cols>
  <sheetData>
    <row r="1" customFormat="false" ht="39.75" hidden="false" customHeight="true" outlineLevel="0" collapsed="false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1.75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7.5" hidden="false" customHeight="true" outlineLevel="0" collapsed="false"/>
    <row r="4" customFormat="false" ht="25.5" hidden="false" customHeight="true" outlineLevel="0" collapsed="false">
      <c r="A4" s="14" t="s">
        <v>31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25.5" hidden="false" customHeight="true" outlineLevel="0" collapsed="false">
      <c r="B5" s="15" t="s">
        <v>32</v>
      </c>
      <c r="C5" s="16"/>
      <c r="D5" s="16"/>
      <c r="F5" s="15" t="s">
        <v>33</v>
      </c>
      <c r="G5" s="16"/>
      <c r="H5" s="16"/>
      <c r="J5" s="15" t="s">
        <v>34</v>
      </c>
      <c r="K5" s="16"/>
      <c r="L5" s="16"/>
    </row>
    <row r="6" customFormat="false" ht="7.5" hidden="false" customHeight="true" outlineLevel="0" collapsed="false"/>
    <row r="7" customFormat="false" ht="42" hidden="false" customHeight="true" outlineLevel="0" collapsed="false">
      <c r="A7" s="17" t="s">
        <v>35</v>
      </c>
      <c r="B7" s="17" t="s">
        <v>36</v>
      </c>
      <c r="C7" s="17" t="s">
        <v>37</v>
      </c>
      <c r="D7" s="18" t="s">
        <v>38</v>
      </c>
      <c r="E7" s="19" t="s">
        <v>39</v>
      </c>
      <c r="F7" s="20" t="s">
        <v>40</v>
      </c>
      <c r="G7" s="21" t="s">
        <v>41</v>
      </c>
      <c r="H7" s="22" t="s">
        <v>42</v>
      </c>
      <c r="I7" s="23" t="s">
        <v>43</v>
      </c>
      <c r="J7" s="24" t="s">
        <v>44</v>
      </c>
    </row>
    <row r="8" customFormat="false" ht="39.75" hidden="false" customHeight="true" outlineLevel="0" collapsed="false">
      <c r="A8" s="25" t="s">
        <v>45</v>
      </c>
      <c r="B8" s="26" t="n">
        <v>0.2</v>
      </c>
      <c r="C8" s="27" t="s">
        <v>46</v>
      </c>
      <c r="D8" s="28"/>
      <c r="E8" s="28"/>
      <c r="F8" s="28"/>
      <c r="G8" s="28"/>
      <c r="H8" s="28"/>
      <c r="I8" s="28"/>
      <c r="J8" s="29" t="str">
        <f aca="false">IFERROR(IF(MAX(D8,E8,F8,G8,H8,I8)=0,"Enter ratings",ifs(D8=MAX(D8,E8,F8,G8,H8,I8),"Power Automate",E8=MAX(D8,E8,F8,G8,H8,I8),"UiPath",F8=MAX(D8,E8,F8,G8,H8,I8),"Auto Anywhere",G8=MAX(D8,E8,F8,G8,H8,I8),"MS Copilot",H8=MAX(D8,E8,F8,G8,H8,I8),"Zapier",I8=MAX(D8,E8,F8,G8,H8,I8),"Make.com")),"Enter ratings")</f>
        <v>Enter ratings</v>
      </c>
    </row>
    <row r="9" customFormat="false" ht="39.75" hidden="false" customHeight="true" outlineLevel="0" collapsed="false">
      <c r="A9" s="25" t="s">
        <v>47</v>
      </c>
      <c r="B9" s="26" t="n">
        <v>0.25</v>
      </c>
      <c r="C9" s="30" t="s">
        <v>48</v>
      </c>
      <c r="D9" s="28"/>
      <c r="E9" s="28"/>
      <c r="F9" s="28"/>
      <c r="G9" s="28"/>
      <c r="H9" s="28"/>
      <c r="I9" s="28"/>
      <c r="J9" s="29" t="str">
        <f aca="false">IFERROR(IF(MAX(D9,E9,F9,G9,H9,I9)=0,"Enter ratings",ifs(D9=MAX(D9,E9,F9,G9,H9,I9),"Power Automate",E9=MAX(D9,E9,F9,G9,H9,I9),"UiPath",F9=MAX(D9,E9,F9,G9,H9,I9),"Auto Anywhere",G9=MAX(D9,E9,F9,G9,H9,I9),"MS Copilot",H9=MAX(D9,E9,F9,G9,H9,I9),"Zapier",I9=MAX(D9,E9,F9,G9,H9,I9),"Make.com")),"Enter ratings")</f>
        <v>Enter ratings</v>
      </c>
    </row>
    <row r="10" customFormat="false" ht="39.75" hidden="false" customHeight="true" outlineLevel="0" collapsed="false">
      <c r="A10" s="25" t="s">
        <v>49</v>
      </c>
      <c r="B10" s="26" t="n">
        <v>0.2</v>
      </c>
      <c r="C10" s="27" t="s">
        <v>50</v>
      </c>
      <c r="D10" s="28"/>
      <c r="E10" s="28"/>
      <c r="F10" s="28"/>
      <c r="G10" s="28"/>
      <c r="H10" s="28"/>
      <c r="I10" s="28"/>
      <c r="J10" s="29" t="str">
        <f aca="false">IFERROR(IF(MAX(D10,E10,F10,G10,H10,I10)=0,"Enter ratings",ifs(D10=MAX(D10,E10,F10,G10,H10,I10),"Power Automate",E10=MAX(D10,E10,F10,G10,H10,I10),"UiPath",F10=MAX(D10,E10,F10,G10,H10,I10),"Auto Anywhere",G10=MAX(D10,E10,F10,G10,H10,I10),"MS Copilot",H10=MAX(D10,E10,F10,G10,H10,I10),"Zapier",I10=MAX(D10,E10,F10,G10,H10,I10),"Make.com")),"Enter ratings")</f>
        <v>Enter ratings</v>
      </c>
    </row>
    <row r="11" customFormat="false" ht="39.75" hidden="false" customHeight="true" outlineLevel="0" collapsed="false">
      <c r="A11" s="25" t="s">
        <v>51</v>
      </c>
      <c r="B11" s="26" t="n">
        <v>0.15</v>
      </c>
      <c r="C11" s="30" t="s">
        <v>52</v>
      </c>
      <c r="D11" s="28"/>
      <c r="E11" s="28"/>
      <c r="F11" s="28"/>
      <c r="G11" s="28"/>
      <c r="H11" s="28"/>
      <c r="I11" s="28"/>
      <c r="J11" s="29" t="str">
        <f aca="false">IFERROR(IF(MAX(D11,E11,F11,G11,H11,I11)=0,"Enter ratings",ifs(D11=MAX(D11,E11,F11,G11,H11,I11),"Power Automate",E11=MAX(D11,E11,F11,G11,H11,I11),"UiPath",F11=MAX(D11,E11,F11,G11,H11,I11),"Auto Anywhere",G11=MAX(D11,E11,F11,G11,H11,I11),"MS Copilot",H11=MAX(D11,E11,F11,G11,H11,I11),"Zapier",I11=MAX(D11,E11,F11,G11,H11,I11),"Make.com")),"Enter ratings")</f>
        <v>Enter ratings</v>
      </c>
    </row>
    <row r="12" customFormat="false" ht="39.75" hidden="false" customHeight="true" outlineLevel="0" collapsed="false">
      <c r="A12" s="25" t="s">
        <v>53</v>
      </c>
      <c r="B12" s="26" t="n">
        <v>0.1</v>
      </c>
      <c r="C12" s="27" t="s">
        <v>54</v>
      </c>
      <c r="D12" s="28"/>
      <c r="E12" s="28"/>
      <c r="F12" s="28"/>
      <c r="G12" s="28"/>
      <c r="H12" s="28"/>
      <c r="I12" s="28"/>
      <c r="J12" s="29" t="str">
        <f aca="false">IFERROR(IF(MAX(D12,E12,F12,G12,H12,I12)=0,"Enter ratings",ifs(D12=MAX(D12,E12,F12,G12,H12,I12),"Power Automate",E12=MAX(D12,E12,F12,G12,H12,I12),"UiPath",F12=MAX(D12,E12,F12,G12,H12,I12),"Auto Anywhere",G12=MAX(D12,E12,F12,G12,H12,I12),"MS Copilot",H12=MAX(D12,E12,F12,G12,H12,I12),"Zapier",I12=MAX(D12,E12,F12,G12,H12,I12),"Make.com")),"Enter ratings")</f>
        <v>Enter ratings</v>
      </c>
    </row>
    <row r="13" customFormat="false" ht="39.75" hidden="false" customHeight="true" outlineLevel="0" collapsed="false">
      <c r="A13" s="25" t="s">
        <v>55</v>
      </c>
      <c r="B13" s="26" t="n">
        <v>0.1</v>
      </c>
      <c r="C13" s="30" t="s">
        <v>56</v>
      </c>
      <c r="D13" s="28"/>
      <c r="E13" s="28"/>
      <c r="F13" s="28"/>
      <c r="G13" s="28"/>
      <c r="H13" s="28"/>
      <c r="I13" s="28"/>
      <c r="J13" s="29" t="str">
        <f aca="false">IFERROR(IF(MAX(D13,E13,F13,G13,H13,I13)=0,"Enter ratings",ifs(D13=MAX(D13,E13,F13,G13,H13,I13),"Power Automate",E13=MAX(D13,E13,F13,G13,H13,I13),"UiPath",F13=MAX(D13,E13,F13,G13,H13,I13),"Auto Anywhere",G13=MAX(D13,E13,F13,G13,H13,I13),"MS Copilot",H13=MAX(D13,E13,F13,G13,H13,I13),"Zapier",I13=MAX(D13,E13,F13,G13,H13,I13),"Make.com")),"Enter ratings")</f>
        <v>Enter ratings</v>
      </c>
    </row>
    <row r="14" customFormat="false" ht="7.5" hidden="false" customHeight="true" outlineLevel="0" collapsed="false"/>
    <row r="15" customFormat="false" ht="36" hidden="false" customHeight="true" outlineLevel="0" collapsed="false">
      <c r="A15" s="31" t="s">
        <v>57</v>
      </c>
      <c r="B15" s="26" t="n">
        <f aca="false">SUM(B8:B13)</f>
        <v>1</v>
      </c>
      <c r="C15" s="32" t="s">
        <v>58</v>
      </c>
      <c r="D15" s="33" t="n">
        <f aca="false">IFERROR(SUMPRODUCT(B8:B13,D8:D13),0)</f>
        <v>0</v>
      </c>
      <c r="E15" s="33" t="n">
        <f aca="false">IFERROR(SUMPRODUCT(B8:B13,E8:E13),0)</f>
        <v>0</v>
      </c>
      <c r="F15" s="33" t="n">
        <f aca="false">IFERROR(SUMPRODUCT(B8:B13,F8:F13),0)</f>
        <v>0</v>
      </c>
      <c r="G15" s="33" t="n">
        <f aca="false">IFERROR(SUMPRODUCT(B8:B13,G8:G13),0)</f>
        <v>0</v>
      </c>
      <c r="H15" s="33" t="n">
        <f aca="false">IFERROR(SUMPRODUCT(B8:B13,H8:H13),0)</f>
        <v>0</v>
      </c>
      <c r="I15" s="33" t="n">
        <f aca="false">IFERROR(SUMPRODUCT(B8:B13,I8:I13),0)</f>
        <v>0</v>
      </c>
      <c r="J15" s="34" t="str">
        <f aca="false">IFERROR(IF(MAX(D15,E15,F15,G15,H15,I15)=0,"Enter ratings",ifs(D15=MAX(D15,E15,F15,G15,H15,I15),"Power Automate",E15=MAX(D15,E15,F15,G15,H15,I15),"UiPath",F15=MAX(D15,E15,F15,G15,H15,I15),"Auto Anywhere",G15=MAX(D15,E15,F15,G15,H15,I15),"MS Copilot",H15=MAX(D15,E15,F15,G15,H15,I15),"Zapier",I15=MAX(D15,E15,F15,G15,H15,I15),"Make.com")),"Enter ratings")</f>
        <v>Enter ratings</v>
      </c>
    </row>
    <row r="16" customFormat="false" ht="7.5" hidden="false" customHeight="true" outlineLevel="0" collapsed="false"/>
    <row r="17" customFormat="false" ht="15" hidden="false" customHeight="true" outlineLevel="0" collapsed="false">
      <c r="A17" s="12" t="s">
        <v>59</v>
      </c>
      <c r="B17" s="12"/>
      <c r="C17" s="12"/>
      <c r="D17" s="12"/>
      <c r="E17" s="12"/>
      <c r="F17" s="12"/>
      <c r="G17" s="12"/>
      <c r="H17" s="12"/>
      <c r="I17" s="12"/>
      <c r="J17" s="12"/>
    </row>
  </sheetData>
  <mergeCells count="7">
    <mergeCell ref="A1:L1"/>
    <mergeCell ref="A2:L2"/>
    <mergeCell ref="A4:L4"/>
    <mergeCell ref="C5:D5"/>
    <mergeCell ref="G5:H5"/>
    <mergeCell ref="K5:L5"/>
    <mergeCell ref="A17:J17"/>
  </mergeCells>
  <conditionalFormatting sqref="D15:I15">
    <cfRule type="colorScale" priority="2">
      <colorScale>
        <cfvo type="min" val="0"/>
        <cfvo type="percentile" val="50"/>
        <cfvo type="max" val="0"/>
        <color rgb="FFC00000"/>
        <color rgb="FFF4A700"/>
        <color rgb="FF107C1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22"/>
    <col collapsed="false" customWidth="true" hidden="false" outlineLevel="0" max="7" min="6" style="1" width="18"/>
  </cols>
  <sheetData>
    <row r="1" customFormat="false" ht="37.5" hidden="false" customHeight="true" outlineLevel="0" collapsed="false">
      <c r="A1" s="35" t="s">
        <v>60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9.5" hidden="false" customHeight="true" outlineLevel="0" collapsed="false">
      <c r="A2" s="36" t="s">
        <v>61</v>
      </c>
      <c r="B2" s="36"/>
      <c r="C2" s="36"/>
      <c r="D2" s="36"/>
      <c r="E2" s="36"/>
      <c r="F2" s="36"/>
      <c r="G2" s="36"/>
      <c r="H2" s="36"/>
      <c r="I2" s="36"/>
      <c r="J2" s="36"/>
    </row>
    <row r="3" customFormat="false" ht="7.5" hidden="false" customHeight="true" outlineLevel="0" collapsed="false"/>
    <row r="4" customFormat="false" ht="36" hidden="false" customHeight="true" outlineLevel="0" collapsed="false">
      <c r="A4" s="37" t="s">
        <v>62</v>
      </c>
      <c r="B4" s="38" t="s">
        <v>38</v>
      </c>
      <c r="C4" s="39" t="s">
        <v>39</v>
      </c>
      <c r="D4" s="40" t="s">
        <v>63</v>
      </c>
      <c r="E4" s="41" t="s">
        <v>64</v>
      </c>
      <c r="F4" s="42" t="s">
        <v>42</v>
      </c>
      <c r="G4" s="43" t="s">
        <v>43</v>
      </c>
    </row>
    <row r="5" customFormat="false" ht="42" hidden="false" customHeight="true" outlineLevel="0" collapsed="false">
      <c r="A5" s="44" t="s">
        <v>65</v>
      </c>
      <c r="B5" s="45" t="s">
        <v>66</v>
      </c>
      <c r="C5" s="45" t="s">
        <v>67</v>
      </c>
      <c r="D5" s="45" t="s">
        <v>68</v>
      </c>
      <c r="E5" s="45" t="s">
        <v>69</v>
      </c>
      <c r="F5" s="45" t="s">
        <v>70</v>
      </c>
      <c r="G5" s="45" t="s">
        <v>71</v>
      </c>
    </row>
    <row r="6" customFormat="false" ht="42" hidden="false" customHeight="true" outlineLevel="0" collapsed="false">
      <c r="A6" s="44" t="s">
        <v>72</v>
      </c>
      <c r="B6" s="46" t="s">
        <v>73</v>
      </c>
      <c r="C6" s="46" t="s">
        <v>74</v>
      </c>
      <c r="D6" s="46" t="s">
        <v>75</v>
      </c>
      <c r="E6" s="46" t="s">
        <v>76</v>
      </c>
      <c r="F6" s="46" t="s">
        <v>77</v>
      </c>
      <c r="G6" s="46" t="s">
        <v>78</v>
      </c>
    </row>
    <row r="7" customFormat="false" ht="42" hidden="false" customHeight="true" outlineLevel="0" collapsed="false">
      <c r="A7" s="44" t="s">
        <v>79</v>
      </c>
      <c r="B7" s="45" t="s">
        <v>80</v>
      </c>
      <c r="C7" s="45" t="s">
        <v>81</v>
      </c>
      <c r="D7" s="45" t="s">
        <v>82</v>
      </c>
      <c r="E7" s="45" t="s">
        <v>83</v>
      </c>
      <c r="F7" s="45" t="s">
        <v>84</v>
      </c>
      <c r="G7" s="45" t="s">
        <v>85</v>
      </c>
    </row>
    <row r="8" customFormat="false" ht="42" hidden="false" customHeight="true" outlineLevel="0" collapsed="false">
      <c r="A8" s="44" t="s">
        <v>86</v>
      </c>
      <c r="B8" s="46" t="s">
        <v>87</v>
      </c>
      <c r="C8" s="46" t="s">
        <v>88</v>
      </c>
      <c r="D8" s="46" t="s">
        <v>89</v>
      </c>
      <c r="E8" s="46" t="s">
        <v>90</v>
      </c>
      <c r="F8" s="46" t="s">
        <v>91</v>
      </c>
      <c r="G8" s="46" t="s">
        <v>92</v>
      </c>
    </row>
    <row r="9" customFormat="false" ht="42" hidden="false" customHeight="true" outlineLevel="0" collapsed="false">
      <c r="A9" s="44" t="s">
        <v>93</v>
      </c>
      <c r="B9" s="45" t="s">
        <v>94</v>
      </c>
      <c r="C9" s="45" t="s">
        <v>95</v>
      </c>
      <c r="D9" s="45" t="s">
        <v>96</v>
      </c>
      <c r="E9" s="45" t="s">
        <v>97</v>
      </c>
      <c r="F9" s="45" t="s">
        <v>98</v>
      </c>
      <c r="G9" s="45" t="s">
        <v>99</v>
      </c>
    </row>
    <row r="10" customFormat="false" ht="42" hidden="false" customHeight="true" outlineLevel="0" collapsed="false">
      <c r="A10" s="44" t="s">
        <v>51</v>
      </c>
      <c r="B10" s="46" t="s">
        <v>100</v>
      </c>
      <c r="C10" s="46" t="s">
        <v>101</v>
      </c>
      <c r="D10" s="46" t="s">
        <v>102</v>
      </c>
      <c r="E10" s="46" t="s">
        <v>103</v>
      </c>
      <c r="F10" s="46" t="s">
        <v>104</v>
      </c>
      <c r="G10" s="46" t="s">
        <v>105</v>
      </c>
    </row>
    <row r="11" customFormat="false" ht="42" hidden="false" customHeight="true" outlineLevel="0" collapsed="false">
      <c r="A11" s="44" t="s">
        <v>106</v>
      </c>
      <c r="B11" s="45" t="s">
        <v>107</v>
      </c>
      <c r="C11" s="45" t="s">
        <v>108</v>
      </c>
      <c r="D11" s="45" t="s">
        <v>109</v>
      </c>
      <c r="E11" s="45" t="s">
        <v>110</v>
      </c>
      <c r="F11" s="45" t="s">
        <v>111</v>
      </c>
      <c r="G11" s="45" t="s">
        <v>112</v>
      </c>
    </row>
    <row r="12" customFormat="false" ht="42" hidden="false" customHeight="true" outlineLevel="0" collapsed="false">
      <c r="A12" s="44" t="s">
        <v>113</v>
      </c>
      <c r="B12" s="46" t="s">
        <v>114</v>
      </c>
      <c r="C12" s="46" t="s">
        <v>115</v>
      </c>
      <c r="D12" s="46" t="s">
        <v>115</v>
      </c>
      <c r="E12" s="46" t="s">
        <v>116</v>
      </c>
      <c r="F12" s="46" t="s">
        <v>117</v>
      </c>
      <c r="G12" s="46" t="s">
        <v>118</v>
      </c>
    </row>
    <row r="13" customFormat="false" ht="49.5" hidden="false" customHeight="true" outlineLevel="0" collapsed="false">
      <c r="A13" s="47" t="s">
        <v>119</v>
      </c>
      <c r="B13" s="48" t="s">
        <v>120</v>
      </c>
      <c r="C13" s="48" t="s">
        <v>121</v>
      </c>
      <c r="D13" s="48" t="s">
        <v>122</v>
      </c>
      <c r="E13" s="48" t="s">
        <v>123</v>
      </c>
      <c r="F13" s="48" t="s">
        <v>124</v>
      </c>
      <c r="G13" s="48" t="s">
        <v>125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7C10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2"/>
  </cols>
  <sheetData>
    <row r="1" customFormat="false" ht="42" hidden="false" customHeight="true" outlineLevel="0" collapsed="false">
      <c r="A1" s="49" t="s">
        <v>126</v>
      </c>
      <c r="B1" s="49"/>
      <c r="C1" s="49"/>
      <c r="D1" s="49"/>
      <c r="E1" s="49"/>
      <c r="F1" s="49"/>
    </row>
    <row r="2" customFormat="false" ht="19.5" hidden="false" customHeight="true" outlineLevel="0" collapsed="false">
      <c r="A2" s="50" t="s">
        <v>127</v>
      </c>
      <c r="B2" s="50"/>
      <c r="C2" s="50"/>
      <c r="D2" s="50"/>
      <c r="E2" s="50"/>
      <c r="F2" s="50"/>
    </row>
    <row r="3" customFormat="false" ht="9.75" hidden="false" customHeight="true" outlineLevel="0" collapsed="false"/>
    <row r="4" customFormat="false" ht="25.5" hidden="false" customHeight="true" outlineLevel="0" collapsed="false">
      <c r="A4" s="8" t="s">
        <v>128</v>
      </c>
      <c r="B4" s="8"/>
      <c r="C4" s="8"/>
      <c r="D4" s="8"/>
      <c r="E4" s="8"/>
      <c r="F4" s="8"/>
    </row>
    <row r="5" customFormat="false" ht="39.75" hidden="false" customHeight="true" outlineLevel="0" collapsed="false">
      <c r="A5" s="51" t="str">
        <f aca="false">IFERROR(IF(MAX('⚖️ Scoring Matrix'!D15:I15)=0,"Enter ratings above",'⚖️ Scoring Matrix'!J15),"Enter ratings above")</f>
        <v>Enter ratings above</v>
      </c>
      <c r="B5" s="51"/>
      <c r="C5" s="51"/>
      <c r="D5" s="52" t="str">
        <f aca="false">IFERROR("Your weighted score: "&amp;TEXT(MAX('⚖️ Scoring Matrix'!D15:I15),"0.00")&amp;" out of 5.00","Complete the Scoring Matrix first")</f>
        <v>Your weighted score: 0.00 out of 5.00</v>
      </c>
      <c r="E5" s="52"/>
      <c r="F5" s="52"/>
    </row>
    <row r="6" customFormat="false" ht="39.75" hidden="false" customHeight="true" outlineLevel="0" collapsed="false">
      <c r="A6" s="51"/>
      <c r="B6" s="51"/>
      <c r="C6" s="51"/>
      <c r="D6" s="52"/>
      <c r="E6" s="52"/>
      <c r="F6" s="52"/>
    </row>
    <row r="7" customFormat="false" ht="9.75" hidden="false" customHeight="true" outlineLevel="0" collapsed="false"/>
    <row r="8" customFormat="false" ht="25.5" hidden="false" customHeight="true" outlineLevel="0" collapsed="false">
      <c r="A8" s="8" t="s">
        <v>129</v>
      </c>
      <c r="B8" s="8"/>
      <c r="C8" s="8"/>
      <c r="D8" s="8"/>
      <c r="E8" s="8"/>
      <c r="F8" s="8"/>
    </row>
    <row r="9" customFormat="false" ht="27.75" hidden="false" customHeight="true" outlineLevel="0" collapsed="false">
      <c r="A9" s="53" t="s">
        <v>38</v>
      </c>
      <c r="B9" s="54" t="s">
        <v>39</v>
      </c>
      <c r="C9" s="55" t="s">
        <v>40</v>
      </c>
      <c r="D9" s="56" t="s">
        <v>41</v>
      </c>
      <c r="E9" s="57" t="s">
        <v>42</v>
      </c>
      <c r="F9" s="58" t="s">
        <v>43</v>
      </c>
    </row>
    <row r="10" customFormat="false" ht="36" hidden="false" customHeight="true" outlineLevel="0" collapsed="false">
      <c r="A10" s="59" t="n">
        <f aca="false">'⚖️ Scoring Matrix'!D15</f>
        <v>0</v>
      </c>
      <c r="B10" s="59" t="n">
        <f aca="false">'⚖️ Scoring Matrix'!E15</f>
        <v>0</v>
      </c>
      <c r="C10" s="59" t="n">
        <f aca="false">'⚖️ Scoring Matrix'!F15</f>
        <v>0</v>
      </c>
      <c r="D10" s="59" t="n">
        <f aca="false">'⚖️ Scoring Matrix'!G15</f>
        <v>0</v>
      </c>
      <c r="E10" s="59" t="n">
        <f aca="false">'⚖️ Scoring Matrix'!H15</f>
        <v>0</v>
      </c>
      <c r="F10" s="59" t="n">
        <f aca="false">'⚖️ Scoring Matrix'!I15</f>
        <v>0</v>
      </c>
    </row>
    <row r="11" customFormat="false" ht="9.75" hidden="false" customHeight="true" outlineLevel="0" collapsed="false"/>
    <row r="12" customFormat="false" ht="25.5" hidden="false" customHeight="true" outlineLevel="0" collapsed="false">
      <c r="A12" s="14" t="s">
        <v>130</v>
      </c>
      <c r="B12" s="14"/>
      <c r="C12" s="14"/>
      <c r="D12" s="14"/>
      <c r="E12" s="14"/>
      <c r="F12" s="14"/>
    </row>
    <row r="13" customFormat="false" ht="27.75" hidden="false" customHeight="true" outlineLevel="0" collapsed="false">
      <c r="A13" s="60" t="s">
        <v>131</v>
      </c>
      <c r="B13" s="60"/>
      <c r="C13" s="16"/>
      <c r="D13" s="16"/>
      <c r="E13" s="16"/>
      <c r="F13" s="16"/>
    </row>
    <row r="14" customFormat="false" ht="27.75" hidden="false" customHeight="true" outlineLevel="0" collapsed="false">
      <c r="A14" s="60" t="s">
        <v>132</v>
      </c>
      <c r="B14" s="60"/>
      <c r="C14" s="16"/>
      <c r="D14" s="16"/>
      <c r="E14" s="16"/>
      <c r="F14" s="16"/>
    </row>
    <row r="15" customFormat="false" ht="27.75" hidden="false" customHeight="true" outlineLevel="0" collapsed="false">
      <c r="A15" s="60" t="s">
        <v>133</v>
      </c>
      <c r="B15" s="60"/>
      <c r="C15" s="16"/>
      <c r="D15" s="16"/>
      <c r="E15" s="16"/>
      <c r="F15" s="16"/>
    </row>
    <row r="16" customFormat="false" ht="27.75" hidden="false" customHeight="true" outlineLevel="0" collapsed="false">
      <c r="A16" s="60" t="s">
        <v>134</v>
      </c>
      <c r="B16" s="60"/>
      <c r="C16" s="16"/>
      <c r="D16" s="16"/>
      <c r="E16" s="16"/>
      <c r="F16" s="16"/>
    </row>
    <row r="17" customFormat="false" ht="27.75" hidden="false" customHeight="true" outlineLevel="0" collapsed="false">
      <c r="A17" s="60" t="s">
        <v>135</v>
      </c>
      <c r="B17" s="60"/>
      <c r="C17" s="16"/>
      <c r="D17" s="16"/>
      <c r="E17" s="16"/>
      <c r="F17" s="16"/>
    </row>
    <row r="18" customFormat="false" ht="9.75" hidden="false" customHeight="true" outlineLevel="0" collapsed="false"/>
    <row r="19" customFormat="false" ht="15" hidden="false" customHeight="true" outlineLevel="0" collapsed="false">
      <c r="A19" s="12" t="s">
        <v>28</v>
      </c>
      <c r="B19" s="12"/>
      <c r="C19" s="12"/>
      <c r="D19" s="12"/>
      <c r="E19" s="12"/>
      <c r="F19" s="12"/>
    </row>
  </sheetData>
  <mergeCells count="18">
    <mergeCell ref="A1:F1"/>
    <mergeCell ref="A2:F2"/>
    <mergeCell ref="A4:F4"/>
    <mergeCell ref="A5:C6"/>
    <mergeCell ref="D5:F6"/>
    <mergeCell ref="A8:F8"/>
    <mergeCell ref="A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9:F19"/>
  </mergeCells>
  <conditionalFormatting sqref="A10:F10">
    <cfRule type="colorScale" priority="2">
      <colorScale>
        <cfvo type="min" val="0"/>
        <cfvo type="percentile" val="50"/>
        <cfvo type="max" val="0"/>
        <color rgb="FFC00000"/>
        <color rgb="FFF4A700"/>
        <color rgb="FF107C1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2026-05-12T17:40:28Z</dcterms:created>
  <dc:creator>openpyxl</dc:creator>
  <dc:description/>
  <dc:language>en-US</dc:language>
  <cp:lastModifiedBy/>
  <dcterms:modified xsi:type="dcterms:W3CDTF">2026-05-12T17:41:07Z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