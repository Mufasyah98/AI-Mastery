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akhrul Syahmi\Downloads\"/>
    </mc:Choice>
  </mc:AlternateContent>
  <xr:revisionPtr revIDLastSave="0" documentId="8_{BE4A6A31-6F31-4153-9FBA-72E71CF81A07}" xr6:coauthVersionLast="47" xr6:coauthVersionMax="47" xr10:uidLastSave="{00000000-0000-0000-0000-000000000000}"/>
  <bookViews>
    <workbookView xWindow="-108" yWindow="-108" windowWidth="23256" windowHeight="12456" tabRatio="500" firstSheet="1" activeTab="3" xr2:uid="{00000000-000D-0000-FFFF-FFFF00000000}"/>
  </bookViews>
  <sheets>
    <sheet name="📋 Instructions" sheetId="1" r:id="rId1"/>
    <sheet name="🧮 ROI Calculator" sheetId="2" r:id="rId2"/>
    <sheet name="📊 Benchmark Data" sheetId="3" r:id="rId3"/>
    <sheet name="📄 Executive Summary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6" i="4" l="1"/>
  <c r="D15" i="4"/>
  <c r="D14" i="4"/>
  <c r="D13" i="4"/>
  <c r="D11" i="4"/>
  <c r="C8" i="4"/>
  <c r="C6" i="4"/>
  <c r="C5" i="4"/>
  <c r="D23" i="3"/>
  <c r="B23" i="3"/>
  <c r="D22" i="3"/>
  <c r="B22" i="3"/>
  <c r="D21" i="3"/>
  <c r="B21" i="3"/>
  <c r="D20" i="3"/>
  <c r="B20" i="3"/>
  <c r="C46" i="2"/>
  <c r="C45" i="2"/>
  <c r="F41" i="2"/>
  <c r="F37" i="2"/>
  <c r="F36" i="2"/>
  <c r="F35" i="2"/>
  <c r="F34" i="2"/>
  <c r="F31" i="2"/>
  <c r="F39" i="2" s="1"/>
  <c r="F30" i="2"/>
  <c r="G22" i="2"/>
  <c r="G21" i="2"/>
  <c r="G20" i="2"/>
  <c r="E20" i="2"/>
  <c r="G19" i="2"/>
  <c r="E19" i="2"/>
  <c r="G18" i="2"/>
  <c r="E18" i="2"/>
  <c r="C47" i="2" l="1"/>
  <c r="F42" i="2"/>
  <c r="F40" i="2"/>
  <c r="F38" i="2"/>
  <c r="D12" i="4"/>
</calcChain>
</file>

<file path=xl/sharedStrings.xml><?xml version="1.0" encoding="utf-8"?>
<sst xmlns="http://schemas.openxmlformats.org/spreadsheetml/2006/main" count="226" uniqueCount="202">
  <si>
    <t>AI MASTERY — ROI CALCULATOR</t>
  </si>
  <si>
    <t>AI-Powered Process Automation for Business Operations  |  Participant Tool</t>
  </si>
  <si>
    <t>HOW TO USE THIS TOOL</t>
  </si>
  <si>
    <t>STEP 1</t>
  </si>
  <si>
    <t>Go to the '🧮 ROI Calculator' sheet.</t>
  </si>
  <si>
    <t>STEP 2</t>
  </si>
  <si>
    <t>Fill in only the BLUE cells — these are your input fields. Do NOT change formula cells (black text).</t>
  </si>
  <si>
    <t>STEP 3</t>
  </si>
  <si>
    <t>Enter your process data in Section A (Current State) and Section B (AI Investment).</t>
  </si>
  <si>
    <t>STEP 4</t>
  </si>
  <si>
    <t>All ROI results in Section C calculate automatically — no manual entry needed.</t>
  </si>
  <si>
    <t>STEP 5</t>
  </si>
  <si>
    <t>Review the '📊 Benchmark Data' sheet to compare your results against industry benchmarks.</t>
  </si>
  <si>
    <t>STEP 6</t>
  </si>
  <si>
    <t>Copy your key results to the '📄 Executive Summary' sheet to present to management.</t>
  </si>
  <si>
    <t>COLOUR LEGEND</t>
  </si>
  <si>
    <t>Blue cells</t>
  </si>
  <si>
    <t>Your INPUT — fill these in</t>
  </si>
  <si>
    <t>Black cells</t>
  </si>
  <si>
    <t>FORMULA — calculated automatically, do not edit</t>
  </si>
  <si>
    <t>Green cells</t>
  </si>
  <si>
    <t>RESULT — your ROI output</t>
  </si>
  <si>
    <t>Orange cells</t>
  </si>
  <si>
    <t>WARNING / check your data</t>
  </si>
  <si>
    <t>Developed by: Fakhrul Syahmi  |  Data Consultant &amp; Certified Trainer  |  mufasyahcons@gmail.com  |  © 2026</t>
  </si>
  <si>
    <t>🧮  AI AUTOMATION ROI CALCULATOR</t>
  </si>
  <si>
    <t>Fill in BLUE cells only  |  All calculations update automatically  |  AI Mastery Training Programme</t>
  </si>
  <si>
    <t>SECTION A — CURRENT STATE (Manual Process Costs)</t>
  </si>
  <si>
    <t>INPUT FIELD</t>
  </si>
  <si>
    <t>YOUR INPUT</t>
  </si>
  <si>
    <t>NOTES / GUIDE</t>
  </si>
  <si>
    <t>Process Name</t>
  </si>
  <si>
    <t>Name the process you are automating</t>
  </si>
  <si>
    <t>Department / Business Unit</t>
  </si>
  <si>
    <t>e.g. Finance, HR, Procurement</t>
  </si>
  <si>
    <t>Number of staff currently performing this process</t>
  </si>
  <si>
    <t>Headcount involved in this task</t>
  </si>
  <si>
    <t>Average staff hourly cost (RM)</t>
  </si>
  <si>
    <t>Include salary + benefits + overhead</t>
  </si>
  <si>
    <t>Manual processing time per transaction (minutes)</t>
  </si>
  <si>
    <t>Time from start to end of one task</t>
  </si>
  <si>
    <t>Monthly transaction volume</t>
  </si>
  <si>
    <t>How many times this task occurs per month</t>
  </si>
  <si>
    <t>Current error / rework rate (%)</t>
  </si>
  <si>
    <t>Percentage of transactions with errors</t>
  </si>
  <si>
    <t>Average cost to fix one error (RM)</t>
  </si>
  <si>
    <t>Time + resource cost per error correction</t>
  </si>
  <si>
    <t>Monthly direct costs (printing, storage, etc. RM)</t>
  </si>
  <si>
    <t>Non-labour direct costs</t>
  </si>
  <si>
    <t>Time AI takes per transaction (minutes, estimated)</t>
  </si>
  <si>
    <t>Estimated after automation (typical: 2–5 mins)</t>
  </si>
  <si>
    <t>SECTION A — CALCULATED CURRENT COSTS (Auto)</t>
  </si>
  <si>
    <t>Monthly staff hours on this process</t>
  </si>
  <si>
    <t>hrs/month</t>
  </si>
  <si>
    <t>RM/month</t>
  </si>
  <si>
    <t>Monthly labour cost of this process</t>
  </si>
  <si>
    <t>hrs</t>
  </si>
  <si>
    <t>RM</t>
  </si>
  <si>
    <t>Monthly error / rework cost</t>
  </si>
  <si>
    <t>errors/month</t>
  </si>
  <si>
    <t>Total monthly direct cost</t>
  </si>
  <si>
    <t>TOTAL ANNUAL CURRENT COST</t>
  </si>
  <si>
    <t>RM/year</t>
  </si>
  <si>
    <t>SECTION B — AI INVESTMENT COSTS</t>
  </si>
  <si>
    <t>AI Platform / Tool licence cost (RM/year)</t>
  </si>
  <si>
    <t>Annual software subscription fee</t>
  </si>
  <si>
    <t>Implementation &amp; configuration cost (one-time, RM)</t>
  </si>
  <si>
    <t>Vendor setup, integration, testing</t>
  </si>
  <si>
    <t>Staff training cost (one-time, RM)</t>
  </si>
  <si>
    <t>Internal training and change management</t>
  </si>
  <si>
    <t>Annual maintenance &amp; support cost (RM/year)</t>
  </si>
  <si>
    <t>Ongoing IT support and platform updates</t>
  </si>
  <si>
    <t>Other Year 1 costs (RM)</t>
  </si>
  <si>
    <t>Hardware, consultancy, or other one-time items</t>
  </si>
  <si>
    <t>TOTAL YEAR 1 INVESTMENT (RM)</t>
  </si>
  <si>
    <t>Ongoing Annual Cost from Year 2 (RM)</t>
  </si>
  <si>
    <t>SECTION C — ROI RESULTS (Calculated Automatically)</t>
  </si>
  <si>
    <t>Annual labour cost saving (RM)</t>
  </si>
  <si>
    <t>Hours saved per year × hourly rate</t>
  </si>
  <si>
    <t>Annual error / rework saving (RM)</t>
  </si>
  <si>
    <t>Errors eliminated × cost per error × 12 months</t>
  </si>
  <si>
    <t>Annual direct cost saving (RM)</t>
  </si>
  <si>
    <t>Printing, storage &amp; other direct costs saved</t>
  </si>
  <si>
    <t>TOTAL ANNUAL SAVING (RM)</t>
  </si>
  <si>
    <t>Sum of all annual savings</t>
  </si>
  <si>
    <t>Net Year 1 Saving (RM)</t>
  </si>
  <si>
    <t>Total savings minus total Year 1 investment</t>
  </si>
  <si>
    <t>Net Year 2+ Annual Saving (RM)</t>
  </si>
  <si>
    <t>Total savings minus ongoing annual cost</t>
  </si>
  <si>
    <t>Year 1 ROI (%)</t>
  </si>
  <si>
    <t>Net Saving ÷ Investment × 100</t>
  </si>
  <si>
    <t>Payback Period (months)</t>
  </si>
  <si>
    <t>Investment ÷ Monthly saving</t>
  </si>
  <si>
    <t>3-Year Net Value (RM)</t>
  </si>
  <si>
    <t>3 years of savings minus all costs</t>
  </si>
  <si>
    <t>SECTION D — PROJECT HEALTH INDICATORS</t>
  </si>
  <si>
    <t>ROI Status</t>
  </si>
  <si>
    <t>Target: ROI &gt; 100% (&gt;1.0x) for Year 1 approval</t>
  </si>
  <si>
    <t>Payback Period Status</t>
  </si>
  <si>
    <t>Target: Payback within 12 months</t>
  </si>
  <si>
    <t>Investment vs Saving Ratio</t>
  </si>
  <si>
    <t>Target: Annual savings ≥ 2× Year 1 investment</t>
  </si>
  <si>
    <t>Fakhrul Syahmi | Data Consultant &amp; Certified Trainer | mufasyahcons@gmail.com | © 2026 | For Training Use</t>
  </si>
  <si>
    <t>📊  AI AUTOMATION INDUSTRY BENCHMARKS</t>
  </si>
  <si>
    <t>Reference data to compare your ROI results against industry averages. Source: Gartner, McKinsey, Forrester Research (2024)</t>
  </si>
  <si>
    <t>BENCHMARK ROI BY AUTOMATION USE CASE</t>
  </si>
  <si>
    <t>Use Case</t>
  </si>
  <si>
    <t>Dept</t>
  </si>
  <si>
    <t>Avg Time Saving</t>
  </si>
  <si>
    <t>Avg Error Reduction</t>
  </si>
  <si>
    <t>Typical ROI Year 1</t>
  </si>
  <si>
    <t>Avg Payback</t>
  </si>
  <si>
    <t>Complexity</t>
  </si>
  <si>
    <t>Recommended Tool</t>
  </si>
  <si>
    <t>Invoice Processing</t>
  </si>
  <si>
    <t>Finance</t>
  </si>
  <si>
    <t>70–80%</t>
  </si>
  <si>
    <t>90–95%</t>
  </si>
  <si>
    <t>120–180%</t>
  </si>
  <si>
    <t>4–6 months</t>
  </si>
  <si>
    <t>Low</t>
  </si>
  <si>
    <t>Power Automate / UiPath</t>
  </si>
  <si>
    <t>Email Sorting &amp; Routing</t>
  </si>
  <si>
    <t>All depts</t>
  </si>
  <si>
    <t>60–75%</t>
  </si>
  <si>
    <t>85–95%</t>
  </si>
  <si>
    <t>100–150%</t>
  </si>
  <si>
    <t>3–5 months</t>
  </si>
  <si>
    <t>Power Automate / Copilot</t>
  </si>
  <si>
    <t>Employee Onboarding</t>
  </si>
  <si>
    <t>HR</t>
  </si>
  <si>
    <t>65–75%</t>
  </si>
  <si>
    <t>80–90%</t>
  </si>
  <si>
    <t>90–130%</t>
  </si>
  <si>
    <t>5–8 months</t>
  </si>
  <si>
    <t>Medium</t>
  </si>
  <si>
    <t>Payroll Processing</t>
  </si>
  <si>
    <t>HR / Finance</t>
  </si>
  <si>
    <t>75–85%</t>
  </si>
  <si>
    <t>95–99%</t>
  </si>
  <si>
    <t>110–160%</t>
  </si>
  <si>
    <t>4–7 months</t>
  </si>
  <si>
    <t>UiPath / RPA tools</t>
  </si>
  <si>
    <t>Report Generation</t>
  </si>
  <si>
    <t>Analytics</t>
  </si>
  <si>
    <t>98–100%</t>
  </si>
  <si>
    <t>130–200%</t>
  </si>
  <si>
    <t>Power Automate / Excel</t>
  </si>
  <si>
    <t>Purchase Order Processing</t>
  </si>
  <si>
    <t>Procurement</t>
  </si>
  <si>
    <t>60–70%</t>
  </si>
  <si>
    <t>100–140%</t>
  </si>
  <si>
    <t>Power Automate / SAP</t>
  </si>
  <si>
    <t>Customer Support (chatbot)</t>
  </si>
  <si>
    <t>Customer Svc</t>
  </si>
  <si>
    <t>40–60%</t>
  </si>
  <si>
    <t>70–85%</t>
  </si>
  <si>
    <t>80–120%</t>
  </si>
  <si>
    <t>6–10 months</t>
  </si>
  <si>
    <t>Copilot Studio / Azure Bot</t>
  </si>
  <si>
    <t>Data Entry &amp; Validation</t>
  </si>
  <si>
    <t>150–250%</t>
  </si>
  <si>
    <t>2–4 months</t>
  </si>
  <si>
    <t>Power Automate / RPA</t>
  </si>
  <si>
    <t>Compliance Reporting</t>
  </si>
  <si>
    <t>Legal / Finance</t>
  </si>
  <si>
    <t>90–98%</t>
  </si>
  <si>
    <t>5–9 months</t>
  </si>
  <si>
    <t>High</t>
  </si>
  <si>
    <t>UiPath / Power Platform</t>
  </si>
  <si>
    <t>Demand Forecasting</t>
  </si>
  <si>
    <t>Operations</t>
  </si>
  <si>
    <t>50–65%</t>
  </si>
  <si>
    <t>60–80%</t>
  </si>
  <si>
    <t>6–12 months</t>
  </si>
  <si>
    <t>Azure ML / Power BI</t>
  </si>
  <si>
    <t>YOUR RESULTS vs BENCHMARK (Links from Calculator)</t>
  </si>
  <si>
    <t>Metric</t>
  </si>
  <si>
    <t>Your Result</t>
  </si>
  <si>
    <t>Industry Benchmark</t>
  </si>
  <si>
    <t>Status</t>
  </si>
  <si>
    <t>Year 1 ROI</t>
  </si>
  <si>
    <t>100–180%</t>
  </si>
  <si>
    <t>Payback Period</t>
  </si>
  <si>
    <t>4–8 months</t>
  </si>
  <si>
    <t>Annual Savings</t>
  </si>
  <si>
    <t>RM 50K–200K typical</t>
  </si>
  <si>
    <t>3-Year Net Value</t>
  </si>
  <si>
    <t>RM 100K–500K typical</t>
  </si>
  <si>
    <t>📄  AI AUTOMATION BUSINESS CASE — EXECUTIVE SUMMARY</t>
  </si>
  <si>
    <t>Auto-populated from ROI Calculator  |  Print or share this sheet with management</t>
  </si>
  <si>
    <t>PROJECT OVERVIEW</t>
  </si>
  <si>
    <t>Department</t>
  </si>
  <si>
    <t>Prepared by</t>
  </si>
  <si>
    <t>Date</t>
  </si>
  <si>
    <t>KEY FINANCIAL RESULTS</t>
  </si>
  <si>
    <t>Total Annual Savings</t>
  </si>
  <si>
    <t>Year 1 Investment</t>
  </si>
  <si>
    <t>Net Year 1 Saving</t>
  </si>
  <si>
    <t>RECOMMENDATION</t>
  </si>
  <si>
    <t>Fakhrul Syahmi | Data Consultant &amp; Certified Trainer | mufasyahcons@gmail.com | © 2026</t>
  </si>
  <si>
    <t>ℹ️ Complete the ROI Calculator to generate a recommendation.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</si>
</sst>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&quot;RM &quot;#,##0.00"/>
    <numFmt numFmtId="166" formatCode="0.0%"/>
    <numFmt numFmtId="167" formatCode="0.0&quot; months&quot;"/>
    <numFmt numFmtId="168" formatCode="dd/mmm/yyyy"/>
  </numFmts>
  <fonts count="38" x14ac:knownFonts="1">
    <font>
      <sz val="11"/>
      <color theme="1"/>
      <name val="Calibri"/>
      <family val="2"/>
      <charset val="1"/>
    </font>
    <font>
      <b/>
      <sz val="18"/>
      <color rgb="FFF4A700"/>
      <name val="Arial"/>
      <family val="2"/>
    </font>
    <font>
      <i/>
      <sz val="11"/>
      <color rgb="FFFFFFFF"/>
      <name val="Arial"/>
      <family val="2"/>
    </font>
    <font>
      <b/>
      <sz val="13"/>
      <color rgb="FFFFFFFF"/>
      <name val="Arial"/>
      <family val="2"/>
    </font>
    <font>
      <b/>
      <sz val="10"/>
      <color rgb="FFF4A700"/>
      <name val="Arial"/>
      <family val="2"/>
    </font>
    <font>
      <sz val="10"/>
      <color rgb="FF1B3A6B"/>
      <name val="Arial"/>
      <family val="2"/>
    </font>
    <font>
      <sz val="10"/>
      <color rgb="FF595959"/>
      <name val="Arial"/>
      <family val="2"/>
    </font>
    <font>
      <b/>
      <sz val="11"/>
      <color rgb="FFFFFFFF"/>
      <name val="Arial"/>
      <family val="2"/>
    </font>
    <font>
      <b/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107C10"/>
      <name val="Arial"/>
      <family val="2"/>
    </font>
    <font>
      <b/>
      <sz val="10"/>
      <color rgb="FFD46B08"/>
      <name val="Arial"/>
      <family val="2"/>
    </font>
    <font>
      <i/>
      <sz val="9"/>
      <color rgb="FF595959"/>
      <name val="Arial"/>
      <family val="2"/>
    </font>
    <font>
      <b/>
      <sz val="16"/>
      <color rgb="FFF4A700"/>
      <name val="Arial"/>
      <family val="2"/>
    </font>
    <font>
      <i/>
      <sz val="10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color rgb="FF0000FF"/>
      <name val="Arial"/>
      <family val="2"/>
    </font>
    <font>
      <sz val="11"/>
      <color rgb="FF000000"/>
      <name val="Arial"/>
      <family val="2"/>
    </font>
    <font>
      <b/>
      <sz val="11"/>
      <color rgb="FF107C10"/>
      <name val="Arial"/>
      <family val="2"/>
    </font>
    <font>
      <b/>
      <sz val="10"/>
      <color rgb="FFC00000"/>
      <name val="Arial"/>
      <family val="2"/>
    </font>
    <font>
      <b/>
      <sz val="11"/>
      <color rgb="FFC00000"/>
      <name val="Arial"/>
      <family val="2"/>
    </font>
    <font>
      <b/>
      <sz val="11"/>
      <color rgb="FF000000"/>
      <name val="Arial"/>
      <family val="2"/>
    </font>
    <font>
      <b/>
      <sz val="12"/>
      <color rgb="FF107C10"/>
      <name val="Arial"/>
      <family val="2"/>
    </font>
    <font>
      <b/>
      <sz val="15"/>
      <color rgb="FFFFFFFF"/>
      <name val="Arial"/>
      <family val="2"/>
    </font>
    <font>
      <i/>
      <sz val="9"/>
      <color rgb="FF1B3A6B"/>
      <name val="Arial"/>
      <family val="2"/>
    </font>
    <font>
      <b/>
      <sz val="11"/>
      <color rgb="FFF4A700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107C10"/>
      <name val="Arial"/>
      <family val="2"/>
    </font>
    <font>
      <i/>
      <sz val="10"/>
      <color rgb="FF595959"/>
      <name val="Arial"/>
      <family val="2"/>
    </font>
    <font>
      <b/>
      <sz val="15"/>
      <color rgb="FFF4A700"/>
      <name val="Arial"/>
      <family val="2"/>
    </font>
    <font>
      <i/>
      <sz val="9"/>
      <color rgb="FFFFFFFF"/>
      <name val="Arial"/>
      <family val="2"/>
    </font>
    <font>
      <b/>
      <sz val="14"/>
      <color rgb="FF107C10"/>
      <name val="Arial"/>
      <family val="2"/>
    </font>
    <font>
      <b/>
      <sz val="14"/>
      <color rgb="FFC00000"/>
      <name val="Arial"/>
      <family val="2"/>
    </font>
    <font>
      <b/>
      <sz val="14"/>
      <color rgb="FF2E5FA3"/>
      <name val="Arial"/>
      <family val="2"/>
    </font>
    <font>
      <b/>
      <sz val="14"/>
      <color rgb="FFD46B0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2E5FA3"/>
        <bgColor rgb="FF3366FF"/>
      </patternFill>
    </fill>
    <fill>
      <patternFill patternType="solid">
        <fgColor rgb="FFF4A700"/>
        <bgColor rgb="FFFFCC00"/>
      </patternFill>
    </fill>
    <fill>
      <patternFill patternType="solid">
        <fgColor rgb="FFD6E4F7"/>
        <bgColor rgb="FFE0F2F1"/>
      </patternFill>
    </fill>
    <fill>
      <patternFill patternType="solid">
        <fgColor rgb="FFF5F5F5"/>
        <bgColor rgb="FFE8F5E9"/>
      </patternFill>
    </fill>
    <fill>
      <patternFill patternType="solid">
        <fgColor rgb="FFFFFFFF"/>
        <bgColor rgb="FFF5F5F5"/>
      </patternFill>
    </fill>
    <fill>
      <patternFill patternType="solid">
        <fgColor rgb="FFC00000"/>
        <bgColor rgb="FF800000"/>
      </patternFill>
    </fill>
    <fill>
      <patternFill patternType="solid">
        <fgColor rgb="FFE8F5E9"/>
        <bgColor rgb="FFE0F2F1"/>
      </patternFill>
    </fill>
    <fill>
      <patternFill patternType="solid">
        <fgColor rgb="FFFFEBEE"/>
        <bgColor rgb="FFFFF3E0"/>
      </patternFill>
    </fill>
    <fill>
      <patternFill patternType="solid">
        <fgColor rgb="FF107C10"/>
        <bgColor rgb="FF008080"/>
      </patternFill>
    </fill>
    <fill>
      <patternFill patternType="solid">
        <fgColor rgb="FF028090"/>
        <bgColor rgb="FF008080"/>
      </patternFill>
    </fill>
    <fill>
      <patternFill patternType="solid">
        <fgColor rgb="FFE0F2F1"/>
        <bgColor rgb="FFE8F5E9"/>
      </patternFill>
    </fill>
    <fill>
      <patternFill patternType="solid">
        <fgColor rgb="FFFFF3E0"/>
        <bgColor rgb="FFFFEBEE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1B3A6B"/>
      </left>
      <right/>
      <top style="thin">
        <color rgb="FF1B3A6B"/>
      </top>
      <bottom style="thin">
        <color rgb="FF1B3A6B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 style="thin">
        <color rgb="FF107C10"/>
      </left>
      <right/>
      <top style="thin">
        <color rgb="FF107C10"/>
      </top>
      <bottom style="thin">
        <color rgb="FF107C10"/>
      </bottom>
      <diagonal/>
    </border>
    <border>
      <left style="thin">
        <color rgb="FF1B3A6B"/>
      </left>
      <right style="thin">
        <color rgb="FF1B3A6B"/>
      </right>
      <top style="thin">
        <color rgb="FF1B3A6B"/>
      </top>
      <bottom style="thin">
        <color rgb="FF1B3A6B"/>
      </bottom>
      <diagonal/>
    </border>
    <border>
      <left style="thin">
        <color rgb="FF2E5FA3"/>
      </left>
      <right/>
      <top style="thin">
        <color rgb="FF2E5FA3"/>
      </top>
      <bottom style="thin">
        <color rgb="FF2E5FA3"/>
      </bottom>
      <diagonal/>
    </border>
    <border>
      <left style="thin">
        <color rgb="FFD46B08"/>
      </left>
      <right/>
      <top style="thin">
        <color rgb="FFD46B08"/>
      </top>
      <bottom style="thin">
        <color rgb="FFD46B08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9" fillId="6" borderId="2" xfId="0" applyFont="1" applyFill="1" applyBorder="1" applyAlignment="1">
      <alignment horizontal="left" vertical="center" wrapText="1"/>
    </xf>
    <xf numFmtId="0" fontId="17" fillId="4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6" fillId="8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9" fillId="6" borderId="2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left" vertical="center"/>
    </xf>
    <xf numFmtId="164" fontId="9" fillId="6" borderId="1" xfId="0" applyNumberFormat="1" applyFont="1" applyFill="1" applyBorder="1" applyAlignment="1">
      <alignment horizontal="right" vertical="center"/>
    </xf>
    <xf numFmtId="0" fontId="13" fillId="6" borderId="1" xfId="0" applyFont="1" applyFill="1" applyBorder="1" applyAlignment="1">
      <alignment horizontal="left" vertical="center"/>
    </xf>
    <xf numFmtId="165" fontId="19" fillId="6" borderId="1" xfId="0" applyNumberFormat="1" applyFont="1" applyFill="1" applyBorder="1" applyAlignment="1">
      <alignment horizontal="right" vertical="center"/>
    </xf>
    <xf numFmtId="164" fontId="9" fillId="7" borderId="1" xfId="0" applyNumberFormat="1" applyFont="1" applyFill="1" applyBorder="1" applyAlignment="1">
      <alignment horizontal="right" vertical="center"/>
    </xf>
    <xf numFmtId="0" fontId="13" fillId="7" borderId="1" xfId="0" applyFont="1" applyFill="1" applyBorder="1" applyAlignment="1">
      <alignment horizontal="left" vertical="center"/>
    </xf>
    <xf numFmtId="165" fontId="19" fillId="7" borderId="1" xfId="0" applyNumberFormat="1" applyFont="1" applyFill="1" applyBorder="1" applyAlignment="1">
      <alignment horizontal="right" vertical="center"/>
    </xf>
    <xf numFmtId="165" fontId="20" fillId="9" borderId="1" xfId="0" applyNumberFormat="1" applyFont="1" applyFill="1" applyBorder="1" applyAlignment="1">
      <alignment horizontal="right" vertical="center"/>
    </xf>
    <xf numFmtId="0" fontId="13" fillId="9" borderId="1" xfId="0" applyFont="1" applyFill="1" applyBorder="1" applyAlignment="1">
      <alignment horizontal="left" vertical="center"/>
    </xf>
    <xf numFmtId="0" fontId="28" fillId="2" borderId="6" xfId="0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left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left" vertical="center" wrapText="1"/>
    </xf>
    <xf numFmtId="0" fontId="29" fillId="7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166" fontId="20" fillId="9" borderId="1" xfId="0" applyNumberFormat="1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167" fontId="20" fillId="9" borderId="1" xfId="0" applyNumberFormat="1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165" fontId="20" fillId="9" borderId="1" xfId="0" applyNumberFormat="1" applyFont="1" applyFill="1" applyBorder="1" applyAlignment="1">
      <alignment horizontal="center" vertical="center"/>
    </xf>
    <xf numFmtId="0" fontId="18" fillId="5" borderId="3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13" fillId="7" borderId="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center"/>
    </xf>
    <xf numFmtId="0" fontId="0" fillId="0" borderId="1" xfId="0" applyBorder="1"/>
    <xf numFmtId="0" fontId="9" fillId="7" borderId="2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left" vertical="center" wrapText="1"/>
    </xf>
    <xf numFmtId="0" fontId="16" fillId="2" borderId="0" xfId="0" applyFont="1" applyFill="1" applyAlignment="1">
      <alignment horizontal="left" vertical="center"/>
    </xf>
    <xf numFmtId="165" fontId="18" fillId="5" borderId="3" xfId="0" applyNumberFormat="1" applyFont="1" applyFill="1" applyBorder="1" applyAlignment="1">
      <alignment horizontal="center" vertical="center"/>
    </xf>
    <xf numFmtId="0" fontId="21" fillId="10" borderId="2" xfId="0" applyFont="1" applyFill="1" applyBorder="1" applyAlignment="1">
      <alignment horizontal="left" vertical="center"/>
    </xf>
    <xf numFmtId="165" fontId="22" fillId="10" borderId="4" xfId="0" applyNumberFormat="1" applyFont="1" applyFill="1" applyBorder="1" applyAlignment="1">
      <alignment horizontal="center" vertical="center"/>
    </xf>
    <xf numFmtId="0" fontId="0" fillId="0" borderId="2" xfId="0" applyBorder="1"/>
    <xf numFmtId="0" fontId="10" fillId="6" borderId="2" xfId="0" applyFont="1" applyFill="1" applyBorder="1" applyAlignment="1">
      <alignment horizontal="left" vertical="center"/>
    </xf>
    <xf numFmtId="165" fontId="23" fillId="6" borderId="4" xfId="0" applyNumberFormat="1" applyFont="1" applyFill="1" applyBorder="1" applyAlignment="1">
      <alignment horizontal="center" vertical="center"/>
    </xf>
    <xf numFmtId="0" fontId="16" fillId="11" borderId="0" xfId="0" applyFont="1" applyFill="1" applyAlignment="1">
      <alignment horizontal="left" vertical="center"/>
    </xf>
    <xf numFmtId="165" fontId="19" fillId="6" borderId="2" xfId="0" applyNumberFormat="1" applyFont="1" applyFill="1" applyBorder="1" applyAlignment="1">
      <alignment horizontal="center" vertical="center"/>
    </xf>
    <xf numFmtId="165" fontId="19" fillId="7" borderId="2" xfId="0" applyNumberFormat="1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left" vertical="center" wrapText="1"/>
    </xf>
    <xf numFmtId="165" fontId="24" fillId="9" borderId="5" xfId="0" applyNumberFormat="1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left" vertical="center" wrapText="1"/>
    </xf>
    <xf numFmtId="166" fontId="24" fillId="9" borderId="5" xfId="0" applyNumberFormat="1" applyFont="1" applyFill="1" applyBorder="1" applyAlignment="1">
      <alignment horizontal="center" vertical="center"/>
    </xf>
    <xf numFmtId="167" fontId="24" fillId="9" borderId="5" xfId="0" applyNumberFormat="1" applyFont="1" applyFill="1" applyBorder="1" applyAlignment="1">
      <alignment horizontal="center" vertical="center"/>
    </xf>
    <xf numFmtId="0" fontId="16" fillId="12" borderId="0" xfId="0" applyFont="1" applyFill="1" applyAlignment="1">
      <alignment horizontal="left" vertical="center"/>
    </xf>
    <xf numFmtId="0" fontId="17" fillId="2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left" vertical="center"/>
    </xf>
    <xf numFmtId="0" fontId="13" fillId="13" borderId="2" xfId="0" applyFont="1" applyFill="1" applyBorder="1" applyAlignment="1">
      <alignment horizontal="left" vertical="center" wrapText="1"/>
    </xf>
    <xf numFmtId="0" fontId="25" fillId="3" borderId="0" xfId="0" applyFont="1" applyFill="1" applyAlignment="1">
      <alignment horizontal="center" vertical="center"/>
    </xf>
    <xf numFmtId="0" fontId="26" fillId="5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32" fillId="2" borderId="0" xfId="0" applyFont="1" applyFill="1" applyAlignment="1">
      <alignment horizontal="center" vertical="center"/>
    </xf>
    <xf numFmtId="0" fontId="33" fillId="3" borderId="0" xfId="0" applyFont="1" applyFill="1" applyAlignment="1">
      <alignment horizontal="center" vertical="center"/>
    </xf>
    <xf numFmtId="0" fontId="17" fillId="2" borderId="2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left" vertical="center"/>
    </xf>
    <xf numFmtId="0" fontId="10" fillId="7" borderId="2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left" vertical="center"/>
    </xf>
    <xf numFmtId="168" fontId="8" fillId="7" borderId="2" xfId="0" applyNumberFormat="1" applyFont="1" applyFill="1" applyBorder="1" applyAlignment="1">
      <alignment horizontal="left" vertical="center"/>
    </xf>
    <xf numFmtId="0" fontId="7" fillId="11" borderId="0" xfId="0" applyFont="1" applyFill="1" applyAlignment="1">
      <alignment horizontal="left" vertical="center"/>
    </xf>
    <xf numFmtId="165" fontId="34" fillId="9" borderId="5" xfId="0" applyNumberFormat="1" applyFont="1" applyFill="1" applyBorder="1" applyAlignment="1">
      <alignment horizontal="center" vertical="center"/>
    </xf>
    <xf numFmtId="165" fontId="35" fillId="10" borderId="4" xfId="0" applyNumberFormat="1" applyFont="1" applyFill="1" applyBorder="1" applyAlignment="1">
      <alignment horizontal="center" vertical="center"/>
    </xf>
    <xf numFmtId="166" fontId="36" fillId="5" borderId="7" xfId="0" applyNumberFormat="1" applyFont="1" applyFill="1" applyBorder="1" applyAlignment="1">
      <alignment horizontal="center" vertical="center"/>
    </xf>
    <xf numFmtId="167" fontId="37" fillId="14" borderId="8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07C1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FF3E0"/>
      <rgbColor rgb="FFE0F2F1"/>
      <rgbColor rgb="FF660066"/>
      <rgbColor rgb="FFFF8080"/>
      <rgbColor rgb="FF2E5FA3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5F5F5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4A700"/>
      <rgbColor rgb="FFD46B08"/>
      <rgbColor rgb="FF595959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6B"/>
  </sheetPr>
  <dimension ref="A1:H18"/>
  <sheetViews>
    <sheetView showGridLines="0" topLeftCell="A3" zoomScaleNormal="100" workbookViewId="0">
      <selection sqref="A1:H1"/>
    </sheetView>
  </sheetViews>
  <sheetFormatPr defaultColWidth="8.6640625" defaultRowHeight="14.4" x14ac:dyDescent="0.3"/>
  <cols>
    <col min="1" max="1" width="14" customWidth="1"/>
    <col min="2" max="8" width="18" customWidth="1"/>
  </cols>
  <sheetData>
    <row r="1" spans="1:8" ht="4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24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9.75" customHeight="1" x14ac:dyDescent="0.3"/>
    <row r="4" spans="1:8" ht="31.5" customHeight="1" x14ac:dyDescent="0.3">
      <c r="A4" s="12" t="s">
        <v>2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5" t="s">
        <v>3</v>
      </c>
      <c r="B5" s="11" t="s">
        <v>4</v>
      </c>
      <c r="C5" s="11"/>
      <c r="D5" s="11"/>
      <c r="E5" s="11"/>
      <c r="F5" s="11"/>
      <c r="G5" s="11"/>
      <c r="H5" s="11"/>
    </row>
    <row r="6" spans="1:8" ht="27.75" customHeight="1" x14ac:dyDescent="0.3">
      <c r="A6" s="15" t="s">
        <v>5</v>
      </c>
      <c r="B6" s="11" t="s">
        <v>6</v>
      </c>
      <c r="C6" s="11"/>
      <c r="D6" s="11"/>
      <c r="E6" s="11"/>
      <c r="F6" s="11"/>
      <c r="G6" s="11"/>
      <c r="H6" s="11"/>
    </row>
    <row r="7" spans="1:8" ht="27.75" customHeight="1" x14ac:dyDescent="0.3">
      <c r="A7" s="15" t="s">
        <v>7</v>
      </c>
      <c r="B7" s="10" t="s">
        <v>8</v>
      </c>
      <c r="C7" s="10"/>
      <c r="D7" s="10"/>
      <c r="E7" s="10"/>
      <c r="F7" s="10"/>
      <c r="G7" s="10"/>
      <c r="H7" s="10"/>
    </row>
    <row r="8" spans="1:8" ht="27.75" customHeight="1" x14ac:dyDescent="0.3">
      <c r="A8" s="15" t="s">
        <v>9</v>
      </c>
      <c r="B8" s="11" t="s">
        <v>10</v>
      </c>
      <c r="C8" s="11"/>
      <c r="D8" s="11"/>
      <c r="E8" s="11"/>
      <c r="F8" s="11"/>
      <c r="G8" s="11"/>
      <c r="H8" s="11"/>
    </row>
    <row r="9" spans="1:8" ht="27.75" customHeight="1" x14ac:dyDescent="0.3">
      <c r="A9" s="15" t="s">
        <v>11</v>
      </c>
      <c r="B9" s="10" t="s">
        <v>12</v>
      </c>
      <c r="C9" s="10"/>
      <c r="D9" s="10"/>
      <c r="E9" s="10"/>
      <c r="F9" s="10"/>
      <c r="G9" s="10"/>
      <c r="H9" s="10"/>
    </row>
    <row r="10" spans="1:8" ht="27.75" customHeight="1" x14ac:dyDescent="0.3">
      <c r="A10" s="15" t="s">
        <v>13</v>
      </c>
      <c r="B10" s="11" t="s">
        <v>14</v>
      </c>
      <c r="C10" s="11"/>
      <c r="D10" s="11"/>
      <c r="E10" s="11"/>
      <c r="F10" s="11"/>
      <c r="G10" s="11"/>
      <c r="H10" s="11"/>
    </row>
    <row r="11" spans="1:8" ht="12" customHeight="1" x14ac:dyDescent="0.3"/>
    <row r="12" spans="1:8" ht="27.75" customHeight="1" x14ac:dyDescent="0.3">
      <c r="A12" s="9" t="s">
        <v>15</v>
      </c>
      <c r="B12" s="9"/>
      <c r="C12" s="9"/>
      <c r="D12" s="9"/>
      <c r="E12" s="9"/>
      <c r="F12" s="9"/>
      <c r="G12" s="9"/>
      <c r="H12" s="9"/>
    </row>
    <row r="13" spans="1:8" ht="24" customHeight="1" x14ac:dyDescent="0.3">
      <c r="A13" s="16" t="s">
        <v>16</v>
      </c>
      <c r="B13" s="8" t="s">
        <v>17</v>
      </c>
      <c r="C13" s="8"/>
      <c r="D13" s="8"/>
      <c r="E13" s="8"/>
      <c r="F13" s="8"/>
      <c r="G13" s="8"/>
      <c r="H13" s="8"/>
    </row>
    <row r="14" spans="1:8" ht="24" customHeight="1" x14ac:dyDescent="0.3">
      <c r="A14" s="17" t="s">
        <v>18</v>
      </c>
      <c r="B14" s="8" t="s">
        <v>19</v>
      </c>
      <c r="C14" s="8"/>
      <c r="D14" s="8"/>
      <c r="E14" s="8"/>
      <c r="F14" s="8"/>
      <c r="G14" s="8"/>
      <c r="H14" s="8"/>
    </row>
    <row r="15" spans="1:8" ht="24" customHeight="1" x14ac:dyDescent="0.3">
      <c r="A15" s="18" t="s">
        <v>20</v>
      </c>
      <c r="B15" s="8" t="s">
        <v>21</v>
      </c>
      <c r="C15" s="8"/>
      <c r="D15" s="8"/>
      <c r="E15" s="8"/>
      <c r="F15" s="8"/>
      <c r="G15" s="8"/>
      <c r="H15" s="8"/>
    </row>
    <row r="16" spans="1:8" ht="24" customHeight="1" x14ac:dyDescent="0.3">
      <c r="A16" s="19" t="s">
        <v>22</v>
      </c>
      <c r="B16" s="8" t="s">
        <v>23</v>
      </c>
      <c r="C16" s="8"/>
      <c r="D16" s="8"/>
      <c r="E16" s="8"/>
      <c r="F16" s="8"/>
      <c r="G16" s="8"/>
      <c r="H16" s="8"/>
    </row>
    <row r="17" spans="1:8" ht="12" customHeight="1" x14ac:dyDescent="0.3"/>
    <row r="18" spans="1:8" x14ac:dyDescent="0.3">
      <c r="A18" s="7" t="s">
        <v>24</v>
      </c>
      <c r="B18" s="7"/>
      <c r="C18" s="7"/>
      <c r="D18" s="7"/>
      <c r="E18" s="7"/>
      <c r="F18" s="7"/>
      <c r="G18" s="7"/>
      <c r="H18" s="7"/>
    </row>
  </sheetData>
  <mergeCells count="15">
    <mergeCell ref="B13:H13"/>
    <mergeCell ref="B14:H14"/>
    <mergeCell ref="B15:H15"/>
    <mergeCell ref="B16:H16"/>
    <mergeCell ref="A18:H18"/>
    <mergeCell ref="B7:H7"/>
    <mergeCell ref="B8:H8"/>
    <mergeCell ref="B9:H9"/>
    <mergeCell ref="B10:H10"/>
    <mergeCell ref="A12:H12"/>
    <mergeCell ref="A1:H1"/>
    <mergeCell ref="A2:H2"/>
    <mergeCell ref="A4:H4"/>
    <mergeCell ref="B5:H5"/>
    <mergeCell ref="B6:H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4A700"/>
  </sheetPr>
  <dimension ref="A1:J49"/>
  <sheetViews>
    <sheetView showGridLines="0" zoomScaleNormal="100" workbookViewId="0">
      <pane ySplit="4" topLeftCell="A37" activePane="bottomLeft" state="frozen"/>
      <selection pane="bottomLeft" sqref="A1:J1"/>
    </sheetView>
  </sheetViews>
  <sheetFormatPr defaultColWidth="8.6640625" defaultRowHeight="14.4" x14ac:dyDescent="0.3"/>
  <cols>
    <col min="1" max="1" width="20" customWidth="1"/>
    <col min="2" max="5" width="8" customWidth="1"/>
    <col min="6" max="6" width="12" customWidth="1"/>
    <col min="7" max="7" width="5" customWidth="1"/>
    <col min="8" max="8" width="18" customWidth="1"/>
    <col min="9" max="9" width="12" customWidth="1"/>
    <col min="10" max="10" width="8" customWidth="1"/>
  </cols>
  <sheetData>
    <row r="1" spans="1:10" ht="42" customHeight="1" x14ac:dyDescent="0.3">
      <c r="A1" s="6" t="s">
        <v>25</v>
      </c>
      <c r="B1" s="6"/>
      <c r="C1" s="6"/>
      <c r="D1" s="6"/>
      <c r="E1" s="6"/>
      <c r="F1" s="6"/>
      <c r="G1" s="6"/>
      <c r="H1" s="6"/>
      <c r="I1" s="6"/>
      <c r="J1" s="6"/>
    </row>
    <row r="2" spans="1:10" ht="21.75" customHeight="1" x14ac:dyDescent="0.3">
      <c r="A2" s="5" t="s">
        <v>26</v>
      </c>
      <c r="B2" s="5"/>
      <c r="C2" s="5"/>
      <c r="D2" s="5"/>
      <c r="E2" s="5"/>
      <c r="F2" s="5"/>
      <c r="G2" s="5"/>
      <c r="H2" s="5"/>
      <c r="I2" s="5"/>
      <c r="J2" s="5"/>
    </row>
    <row r="3" spans="1:10" ht="7.5" customHeight="1" x14ac:dyDescent="0.3"/>
    <row r="4" spans="1:10" ht="30" customHeight="1" x14ac:dyDescent="0.3">
      <c r="A4" s="4" t="s">
        <v>27</v>
      </c>
      <c r="B4" s="4"/>
      <c r="C4" s="4"/>
      <c r="D4" s="4"/>
      <c r="E4" s="4"/>
      <c r="F4" s="4"/>
      <c r="G4" s="4"/>
      <c r="H4" s="4"/>
      <c r="I4" s="4"/>
      <c r="J4" s="4"/>
    </row>
    <row r="5" spans="1:10" ht="25.5" customHeight="1" x14ac:dyDescent="0.3">
      <c r="A5" s="3" t="s">
        <v>28</v>
      </c>
      <c r="B5" s="3"/>
      <c r="C5" s="3"/>
      <c r="D5" s="3"/>
      <c r="E5" s="3"/>
      <c r="F5" s="2" t="s">
        <v>29</v>
      </c>
      <c r="G5" s="2"/>
      <c r="H5" s="3" t="s">
        <v>30</v>
      </c>
      <c r="I5" s="3"/>
      <c r="J5" s="3"/>
    </row>
    <row r="6" spans="1:10" ht="25.5" customHeight="1" x14ac:dyDescent="0.3">
      <c r="A6" s="1" t="s">
        <v>31</v>
      </c>
      <c r="B6" s="1"/>
      <c r="C6" s="1"/>
      <c r="D6" s="1"/>
      <c r="E6" s="1"/>
      <c r="F6" s="44"/>
      <c r="G6" s="44"/>
      <c r="H6" s="45" t="s">
        <v>32</v>
      </c>
      <c r="I6" s="45"/>
      <c r="J6" s="45"/>
    </row>
    <row r="7" spans="1:10" ht="25.5" customHeight="1" x14ac:dyDescent="0.3">
      <c r="A7" s="46" t="s">
        <v>33</v>
      </c>
      <c r="B7" s="46"/>
      <c r="C7" s="46"/>
      <c r="D7" s="46"/>
      <c r="E7" s="46"/>
      <c r="F7" s="44"/>
      <c r="G7" s="44"/>
      <c r="H7" s="47" t="s">
        <v>34</v>
      </c>
      <c r="I7" s="47"/>
      <c r="J7" s="47"/>
    </row>
    <row r="8" spans="1:10" ht="25.5" customHeight="1" x14ac:dyDescent="0.3">
      <c r="A8" s="1" t="s">
        <v>35</v>
      </c>
      <c r="B8" s="1"/>
      <c r="C8" s="1"/>
      <c r="D8" s="1"/>
      <c r="E8" s="1"/>
      <c r="F8" s="44"/>
      <c r="G8" s="44"/>
      <c r="H8" s="45" t="s">
        <v>36</v>
      </c>
      <c r="I8" s="45"/>
      <c r="J8" s="45"/>
    </row>
    <row r="9" spans="1:10" ht="25.5" customHeight="1" x14ac:dyDescent="0.3">
      <c r="A9" s="46" t="s">
        <v>37</v>
      </c>
      <c r="B9" s="46"/>
      <c r="C9" s="46"/>
      <c r="D9" s="46"/>
      <c r="E9" s="46"/>
      <c r="F9" s="44"/>
      <c r="G9" s="44"/>
      <c r="H9" s="47" t="s">
        <v>38</v>
      </c>
      <c r="I9" s="47"/>
      <c r="J9" s="47"/>
    </row>
    <row r="10" spans="1:10" ht="25.5" customHeight="1" x14ac:dyDescent="0.3">
      <c r="A10" s="1" t="s">
        <v>39</v>
      </c>
      <c r="B10" s="1"/>
      <c r="C10" s="1"/>
      <c r="D10" s="1"/>
      <c r="E10" s="1"/>
      <c r="F10" s="44"/>
      <c r="G10" s="44"/>
      <c r="H10" s="45" t="s">
        <v>40</v>
      </c>
      <c r="I10" s="45"/>
      <c r="J10" s="45"/>
    </row>
    <row r="11" spans="1:10" ht="25.5" customHeight="1" x14ac:dyDescent="0.3">
      <c r="A11" s="46" t="s">
        <v>41</v>
      </c>
      <c r="B11" s="46"/>
      <c r="C11" s="46"/>
      <c r="D11" s="46"/>
      <c r="E11" s="46"/>
      <c r="F11" s="44"/>
      <c r="G11" s="44"/>
      <c r="H11" s="47" t="s">
        <v>42</v>
      </c>
      <c r="I11" s="47"/>
      <c r="J11" s="47"/>
    </row>
    <row r="12" spans="1:10" ht="25.5" customHeight="1" x14ac:dyDescent="0.3">
      <c r="A12" s="1" t="s">
        <v>43</v>
      </c>
      <c r="B12" s="1"/>
      <c r="C12" s="1"/>
      <c r="D12" s="1"/>
      <c r="E12" s="1"/>
      <c r="F12" s="44"/>
      <c r="G12" s="44"/>
      <c r="H12" s="45" t="s">
        <v>44</v>
      </c>
      <c r="I12" s="45"/>
      <c r="J12" s="45"/>
    </row>
    <row r="13" spans="1:10" ht="25.5" customHeight="1" x14ac:dyDescent="0.3">
      <c r="A13" s="46" t="s">
        <v>45</v>
      </c>
      <c r="B13" s="46"/>
      <c r="C13" s="46"/>
      <c r="D13" s="46"/>
      <c r="E13" s="46"/>
      <c r="F13" s="44"/>
      <c r="G13" s="44"/>
      <c r="H13" s="47" t="s">
        <v>46</v>
      </c>
      <c r="I13" s="47"/>
      <c r="J13" s="47"/>
    </row>
    <row r="14" spans="1:10" ht="25.5" customHeight="1" x14ac:dyDescent="0.3">
      <c r="A14" s="1" t="s">
        <v>47</v>
      </c>
      <c r="B14" s="1"/>
      <c r="C14" s="1"/>
      <c r="D14" s="1"/>
      <c r="E14" s="1"/>
      <c r="F14" s="44"/>
      <c r="G14" s="44"/>
      <c r="H14" s="45" t="s">
        <v>48</v>
      </c>
      <c r="I14" s="45"/>
      <c r="J14" s="45"/>
    </row>
    <row r="15" spans="1:10" ht="25.5" customHeight="1" x14ac:dyDescent="0.3">
      <c r="A15" s="46" t="s">
        <v>49</v>
      </c>
      <c r="B15" s="46"/>
      <c r="C15" s="46"/>
      <c r="D15" s="46"/>
      <c r="E15" s="46"/>
      <c r="F15" s="44"/>
      <c r="G15" s="44"/>
      <c r="H15" s="47" t="s">
        <v>50</v>
      </c>
      <c r="I15" s="47"/>
      <c r="J15" s="47"/>
    </row>
    <row r="16" spans="1:10" ht="7.5" customHeight="1" x14ac:dyDescent="0.3"/>
    <row r="17" spans="1:10" ht="27.75" customHeight="1" x14ac:dyDescent="0.3">
      <c r="A17" s="48" t="s">
        <v>51</v>
      </c>
      <c r="B17" s="48"/>
      <c r="C17" s="48"/>
      <c r="D17" s="48"/>
      <c r="E17" s="48"/>
      <c r="F17" s="48"/>
      <c r="G17" s="48"/>
      <c r="H17" s="48"/>
      <c r="I17" s="48"/>
      <c r="J17" s="48"/>
    </row>
    <row r="18" spans="1:10" ht="25.5" customHeight="1" x14ac:dyDescent="0.3">
      <c r="A18" s="1" t="s">
        <v>52</v>
      </c>
      <c r="B18" s="1"/>
      <c r="C18" s="1"/>
      <c r="D18" s="1"/>
      <c r="E18" s="20">
        <f>IFERROR(F10*F11/60, 0)</f>
        <v>0</v>
      </c>
      <c r="F18" s="21" t="s">
        <v>53</v>
      </c>
      <c r="G18" s="22">
        <f>IFERROR(F10*F11/60*F8, 0)</f>
        <v>0</v>
      </c>
      <c r="H18" s="21" t="s">
        <v>54</v>
      </c>
      <c r="I18" s="49"/>
      <c r="J18" s="49"/>
    </row>
    <row r="19" spans="1:10" ht="25.5" customHeight="1" x14ac:dyDescent="0.3">
      <c r="A19" s="46" t="s">
        <v>55</v>
      </c>
      <c r="B19" s="46"/>
      <c r="C19" s="46"/>
      <c r="D19" s="46"/>
      <c r="E19" s="23">
        <f>IFERROR(F10*F11/60, 0)</f>
        <v>0</v>
      </c>
      <c r="F19" s="24" t="s">
        <v>56</v>
      </c>
      <c r="G19" s="25">
        <f>IFERROR(F10*F11/60*F9, 0)</f>
        <v>0</v>
      </c>
      <c r="H19" s="24" t="s">
        <v>57</v>
      </c>
      <c r="I19" s="49"/>
      <c r="J19" s="49"/>
    </row>
    <row r="20" spans="1:10" ht="25.5" customHeight="1" x14ac:dyDescent="0.3">
      <c r="A20" s="1" t="s">
        <v>58</v>
      </c>
      <c r="B20" s="1"/>
      <c r="C20" s="1"/>
      <c r="D20" s="1"/>
      <c r="E20" s="20">
        <f>IFERROR(F11*F12/100, 0)</f>
        <v>0</v>
      </c>
      <c r="F20" s="21" t="s">
        <v>59</v>
      </c>
      <c r="G20" s="22">
        <f>IFERROR(F11*F12/100*F13, 0)</f>
        <v>0</v>
      </c>
      <c r="H20" s="21" t="s">
        <v>54</v>
      </c>
      <c r="I20" s="49"/>
      <c r="J20" s="49"/>
    </row>
    <row r="21" spans="1:10" ht="25.5" customHeight="1" x14ac:dyDescent="0.3">
      <c r="A21" s="46" t="s">
        <v>60</v>
      </c>
      <c r="B21" s="46"/>
      <c r="C21" s="46"/>
      <c r="D21" s="46"/>
      <c r="E21" s="50"/>
      <c r="F21" s="50"/>
      <c r="G21" s="25">
        <f>IFERROR(F19+F20+F14, 0)</f>
        <v>0</v>
      </c>
      <c r="H21" s="24" t="s">
        <v>54</v>
      </c>
      <c r="I21" s="49"/>
      <c r="J21" s="49"/>
    </row>
    <row r="22" spans="1:10" ht="25.5" customHeight="1" x14ac:dyDescent="0.3">
      <c r="A22" s="51" t="s">
        <v>61</v>
      </c>
      <c r="B22" s="51"/>
      <c r="C22" s="51"/>
      <c r="D22" s="51"/>
      <c r="E22" s="8"/>
      <c r="F22" s="8"/>
      <c r="G22" s="26">
        <f>IFERROR(F21*12, 0)</f>
        <v>0</v>
      </c>
      <c r="H22" s="27" t="s">
        <v>62</v>
      </c>
      <c r="I22" s="49"/>
      <c r="J22" s="49"/>
    </row>
    <row r="23" spans="1:10" ht="9.75" customHeight="1" x14ac:dyDescent="0.3"/>
    <row r="24" spans="1:10" ht="30" customHeight="1" x14ac:dyDescent="0.3">
      <c r="A24" s="52" t="s">
        <v>63</v>
      </c>
      <c r="B24" s="52"/>
      <c r="C24" s="52"/>
      <c r="D24" s="52"/>
      <c r="E24" s="52"/>
      <c r="F24" s="52"/>
      <c r="G24" s="52"/>
      <c r="H24" s="52"/>
      <c r="I24" s="52"/>
      <c r="J24" s="52"/>
    </row>
    <row r="25" spans="1:10" ht="25.5" customHeight="1" x14ac:dyDescent="0.3">
      <c r="A25" s="46" t="s">
        <v>64</v>
      </c>
      <c r="B25" s="46"/>
      <c r="C25" s="46"/>
      <c r="D25" s="46"/>
      <c r="E25" s="46"/>
      <c r="F25" s="53"/>
      <c r="G25" s="53"/>
      <c r="H25" s="47" t="s">
        <v>65</v>
      </c>
      <c r="I25" s="47"/>
      <c r="J25" s="47"/>
    </row>
    <row r="26" spans="1:10" ht="25.5" customHeight="1" x14ac:dyDescent="0.3">
      <c r="A26" s="1" t="s">
        <v>66</v>
      </c>
      <c r="B26" s="1"/>
      <c r="C26" s="1"/>
      <c r="D26" s="1"/>
      <c r="E26" s="1"/>
      <c r="F26" s="53"/>
      <c r="G26" s="53"/>
      <c r="H26" s="45" t="s">
        <v>67</v>
      </c>
      <c r="I26" s="45"/>
      <c r="J26" s="45"/>
    </row>
    <row r="27" spans="1:10" ht="25.5" customHeight="1" x14ac:dyDescent="0.3">
      <c r="A27" s="46" t="s">
        <v>68</v>
      </c>
      <c r="B27" s="46"/>
      <c r="C27" s="46"/>
      <c r="D27" s="46"/>
      <c r="E27" s="46"/>
      <c r="F27" s="53"/>
      <c r="G27" s="53"/>
      <c r="H27" s="47" t="s">
        <v>69</v>
      </c>
      <c r="I27" s="47"/>
      <c r="J27" s="47"/>
    </row>
    <row r="28" spans="1:10" ht="25.5" customHeight="1" x14ac:dyDescent="0.3">
      <c r="A28" s="1" t="s">
        <v>70</v>
      </c>
      <c r="B28" s="1"/>
      <c r="C28" s="1"/>
      <c r="D28" s="1"/>
      <c r="E28" s="1"/>
      <c r="F28" s="53"/>
      <c r="G28" s="53"/>
      <c r="H28" s="45" t="s">
        <v>71</v>
      </c>
      <c r="I28" s="45"/>
      <c r="J28" s="45"/>
    </row>
    <row r="29" spans="1:10" ht="25.5" customHeight="1" x14ac:dyDescent="0.3">
      <c r="A29" s="46" t="s">
        <v>72</v>
      </c>
      <c r="B29" s="46"/>
      <c r="C29" s="46"/>
      <c r="D29" s="46"/>
      <c r="E29" s="46"/>
      <c r="F29" s="53"/>
      <c r="G29" s="53"/>
      <c r="H29" s="47" t="s">
        <v>73</v>
      </c>
      <c r="I29" s="47"/>
      <c r="J29" s="47"/>
    </row>
    <row r="30" spans="1:10" ht="27.75" customHeight="1" x14ac:dyDescent="0.3">
      <c r="A30" s="54" t="s">
        <v>74</v>
      </c>
      <c r="B30" s="54"/>
      <c r="C30" s="54"/>
      <c r="D30" s="54"/>
      <c r="E30" s="54"/>
      <c r="F30" s="55">
        <f>IFERROR(F25+F26+F27+F28+F29, 0)</f>
        <v>0</v>
      </c>
      <c r="G30" s="55"/>
      <c r="H30" s="56"/>
      <c r="I30" s="56"/>
      <c r="J30" s="56"/>
    </row>
    <row r="31" spans="1:10" ht="27.75" customHeight="1" x14ac:dyDescent="0.3">
      <c r="A31" s="57" t="s">
        <v>75</v>
      </c>
      <c r="B31" s="57"/>
      <c r="C31" s="57"/>
      <c r="D31" s="57"/>
      <c r="E31" s="57"/>
      <c r="F31" s="58">
        <f>IFERROR(F25+F28, 0)</f>
        <v>0</v>
      </c>
      <c r="G31" s="58"/>
      <c r="H31" s="56"/>
      <c r="I31" s="56"/>
      <c r="J31" s="56"/>
    </row>
    <row r="32" spans="1:10" ht="9.75" customHeight="1" x14ac:dyDescent="0.3"/>
    <row r="33" spans="1:10" ht="30" customHeight="1" x14ac:dyDescent="0.3">
      <c r="A33" s="59" t="s">
        <v>76</v>
      </c>
      <c r="B33" s="59"/>
      <c r="C33" s="59"/>
      <c r="D33" s="59"/>
      <c r="E33" s="59"/>
      <c r="F33" s="59"/>
      <c r="G33" s="59"/>
      <c r="H33" s="59"/>
      <c r="I33" s="59"/>
      <c r="J33" s="59"/>
    </row>
    <row r="34" spans="1:10" ht="24" customHeight="1" x14ac:dyDescent="0.3">
      <c r="A34" s="1" t="s">
        <v>77</v>
      </c>
      <c r="B34" s="1"/>
      <c r="C34" s="1"/>
      <c r="D34" s="1"/>
      <c r="E34" s="1"/>
      <c r="F34" s="60">
        <f>IFERROR((F10-F15)*F11*12/60*F9, 0)</f>
        <v>0</v>
      </c>
      <c r="G34" s="60"/>
      <c r="H34" s="45" t="s">
        <v>78</v>
      </c>
      <c r="I34" s="45"/>
      <c r="J34" s="45"/>
    </row>
    <row r="35" spans="1:10" ht="24" customHeight="1" x14ac:dyDescent="0.3">
      <c r="A35" s="46" t="s">
        <v>79</v>
      </c>
      <c r="B35" s="46"/>
      <c r="C35" s="46"/>
      <c r="D35" s="46"/>
      <c r="E35" s="46"/>
      <c r="F35" s="61">
        <f>IFERROR(F11*F12/100*F13*12, 0)</f>
        <v>0</v>
      </c>
      <c r="G35" s="61"/>
      <c r="H35" s="47" t="s">
        <v>80</v>
      </c>
      <c r="I35" s="47"/>
      <c r="J35" s="47"/>
    </row>
    <row r="36" spans="1:10" ht="24" customHeight="1" x14ac:dyDescent="0.3">
      <c r="A36" s="1" t="s">
        <v>81</v>
      </c>
      <c r="B36" s="1"/>
      <c r="C36" s="1"/>
      <c r="D36" s="1"/>
      <c r="E36" s="1"/>
      <c r="F36" s="60">
        <f>IFERROR(F14*12, 0)</f>
        <v>0</v>
      </c>
      <c r="G36" s="60"/>
      <c r="H36" s="45" t="s">
        <v>82</v>
      </c>
      <c r="I36" s="45"/>
      <c r="J36" s="45"/>
    </row>
    <row r="37" spans="1:10" ht="27.75" customHeight="1" x14ac:dyDescent="0.3">
      <c r="A37" s="62" t="s">
        <v>83</v>
      </c>
      <c r="B37" s="62"/>
      <c r="C37" s="62"/>
      <c r="D37" s="62"/>
      <c r="E37" s="62"/>
      <c r="F37" s="63">
        <f>IFERROR(G34+G35+G36, 0)</f>
        <v>0</v>
      </c>
      <c r="G37" s="63"/>
      <c r="H37" s="64" t="s">
        <v>84</v>
      </c>
      <c r="I37" s="64"/>
      <c r="J37" s="64"/>
    </row>
    <row r="38" spans="1:10" ht="27.75" customHeight="1" x14ac:dyDescent="0.3">
      <c r="A38" s="62" t="s">
        <v>85</v>
      </c>
      <c r="B38" s="62"/>
      <c r="C38" s="62"/>
      <c r="D38" s="62"/>
      <c r="E38" s="62"/>
      <c r="F38" s="63">
        <f>IFERROR(G37-F30, 0)</f>
        <v>0</v>
      </c>
      <c r="G38" s="63"/>
      <c r="H38" s="64" t="s">
        <v>86</v>
      </c>
      <c r="I38" s="64"/>
      <c r="J38" s="64"/>
    </row>
    <row r="39" spans="1:10" ht="24" customHeight="1" x14ac:dyDescent="0.3">
      <c r="A39" s="46" t="s">
        <v>87</v>
      </c>
      <c r="B39" s="46"/>
      <c r="C39" s="46"/>
      <c r="D39" s="46"/>
      <c r="E39" s="46"/>
      <c r="F39" s="61">
        <f>IFERROR(G37-F31, 0)</f>
        <v>0</v>
      </c>
      <c r="G39" s="61"/>
      <c r="H39" s="47" t="s">
        <v>88</v>
      </c>
      <c r="I39" s="47"/>
      <c r="J39" s="47"/>
    </row>
    <row r="40" spans="1:10" ht="27.75" customHeight="1" x14ac:dyDescent="0.3">
      <c r="A40" s="62" t="s">
        <v>89</v>
      </c>
      <c r="B40" s="62"/>
      <c r="C40" s="62"/>
      <c r="D40" s="62"/>
      <c r="E40" s="62"/>
      <c r="F40" s="65">
        <f>IFERROR(IF(F30=0,0,(G37-F30)/F30), 0)</f>
        <v>0</v>
      </c>
      <c r="G40" s="65"/>
      <c r="H40" s="64" t="s">
        <v>90</v>
      </c>
      <c r="I40" s="64"/>
      <c r="J40" s="64"/>
    </row>
    <row r="41" spans="1:10" ht="27.75" customHeight="1" x14ac:dyDescent="0.3">
      <c r="A41" s="62" t="s">
        <v>91</v>
      </c>
      <c r="B41" s="62"/>
      <c r="C41" s="62"/>
      <c r="D41" s="62"/>
      <c r="E41" s="62"/>
      <c r="F41" s="66">
        <f>IFERROR(IF(G37=0,0,F30/(G37/12)), 0)</f>
        <v>0</v>
      </c>
      <c r="G41" s="66"/>
      <c r="H41" s="64" t="s">
        <v>92</v>
      </c>
      <c r="I41" s="64"/>
      <c r="J41" s="64"/>
    </row>
    <row r="42" spans="1:10" ht="27.75" customHeight="1" x14ac:dyDescent="0.3">
      <c r="A42" s="62" t="s">
        <v>93</v>
      </c>
      <c r="B42" s="62"/>
      <c r="C42" s="62"/>
      <c r="D42" s="62"/>
      <c r="E42" s="62"/>
      <c r="F42" s="63">
        <f>IFERROR(G37*3-F30-(F31*2), 0)</f>
        <v>0</v>
      </c>
      <c r="G42" s="63"/>
      <c r="H42" s="64" t="s">
        <v>94</v>
      </c>
      <c r="I42" s="64"/>
      <c r="J42" s="64"/>
    </row>
    <row r="43" spans="1:10" ht="9.75" customHeight="1" x14ac:dyDescent="0.3"/>
    <row r="44" spans="1:10" ht="30" customHeight="1" x14ac:dyDescent="0.3">
      <c r="A44" s="67" t="s">
        <v>95</v>
      </c>
      <c r="B44" s="67"/>
      <c r="C44" s="67"/>
      <c r="D44" s="67"/>
      <c r="E44" s="67"/>
      <c r="F44" s="67"/>
      <c r="G44" s="67"/>
      <c r="H44" s="67"/>
      <c r="I44" s="67"/>
      <c r="J44" s="67"/>
    </row>
    <row r="45" spans="1:10" ht="27.75" customHeight="1" x14ac:dyDescent="0.3">
      <c r="A45" s="68" t="s">
        <v>96</v>
      </c>
      <c r="B45" s="68"/>
      <c r="C45" s="50" t="str">
        <f>IFERROR(IF(G40&gt;=1,"🟢 STRONG ROI — Proceed with confidence",IF(G40&gt;=0.5,"🟡 MODERATE ROI — Refine your cost estimates",IF(G40&gt;0,"🔴 LOW ROI — Review tool selection or scope","⚪ Enter data above to calculate"))),"⚪ Enter data above")</f>
        <v>⚪ Enter data above to calculate</v>
      </c>
      <c r="D45" s="50"/>
      <c r="E45" s="50"/>
      <c r="F45" s="50"/>
      <c r="G45" s="50"/>
      <c r="H45" s="47" t="s">
        <v>97</v>
      </c>
      <c r="I45" s="47"/>
      <c r="J45" s="47"/>
    </row>
    <row r="46" spans="1:10" ht="27.75" customHeight="1" x14ac:dyDescent="0.3">
      <c r="A46" s="68" t="s">
        <v>98</v>
      </c>
      <c r="B46" s="68"/>
      <c r="C46" s="69" t="str">
        <f>IFERROR(IF(G41=0,"⚪ Enter data above",IF(G41&lt;=6,"🟢 FAST payback (≤6 months) — Excellent",IF(G41&lt;=12,"🟡 GOOD payback (6–12 months) — Acceptable",IF(G41&lt;=24,"🔴 SLOW payback (12–24 months) — Justify carefully","🔴 Very slow (&gt;24 months) — Reconsider scope")))),"⚪ Enter data above")</f>
        <v>⚪ Enter data above</v>
      </c>
      <c r="D46" s="69"/>
      <c r="E46" s="69"/>
      <c r="F46" s="69"/>
      <c r="G46" s="69"/>
      <c r="H46" s="70" t="s">
        <v>99</v>
      </c>
      <c r="I46" s="70"/>
      <c r="J46" s="70"/>
    </row>
    <row r="47" spans="1:10" ht="27.75" customHeight="1" x14ac:dyDescent="0.3">
      <c r="A47" s="68" t="s">
        <v>100</v>
      </c>
      <c r="B47" s="68"/>
      <c r="C47" s="50" t="str">
        <f>IFERROR(IF(F30=0,"⚪ Enter data above",IF(G37/F30&gt;=2,"🟢 Savings are 2x+ of investment — Strong case",IF(G37/F30&gt;=1,"🟡 Savings exceed investment — Borderline",IF(G37&gt;0,"🔴 Savings less than investment — Review scope","🔴 No savings calculated")))),"⚪ Enter data")</f>
        <v>⚪ Enter data above</v>
      </c>
      <c r="D47" s="50"/>
      <c r="E47" s="50"/>
      <c r="F47" s="50"/>
      <c r="G47" s="50"/>
      <c r="H47" s="47" t="s">
        <v>101</v>
      </c>
      <c r="I47" s="47"/>
      <c r="J47" s="47"/>
    </row>
    <row r="48" spans="1:10" ht="9.75" customHeight="1" x14ac:dyDescent="0.3"/>
    <row r="49" spans="1:10" x14ac:dyDescent="0.3">
      <c r="A49" s="7" t="s">
        <v>102</v>
      </c>
      <c r="B49" s="7"/>
      <c r="C49" s="7"/>
      <c r="D49" s="7"/>
      <c r="E49" s="7"/>
      <c r="F49" s="7"/>
      <c r="G49" s="7"/>
      <c r="H49" s="7"/>
      <c r="I49" s="7"/>
      <c r="J49" s="7"/>
    </row>
  </sheetData>
  <mergeCells count="110">
    <mergeCell ref="A46:B46"/>
    <mergeCell ref="C46:G46"/>
    <mergeCell ref="H46:J46"/>
    <mergeCell ref="A47:B47"/>
    <mergeCell ref="C47:G47"/>
    <mergeCell ref="H47:J47"/>
    <mergeCell ref="A49:J49"/>
    <mergeCell ref="A41:E41"/>
    <mergeCell ref="F41:G41"/>
    <mergeCell ref="H41:J41"/>
    <mergeCell ref="A42:E42"/>
    <mergeCell ref="F42:G42"/>
    <mergeCell ref="H42:J42"/>
    <mergeCell ref="A44:J44"/>
    <mergeCell ref="A45:B45"/>
    <mergeCell ref="C45:G45"/>
    <mergeCell ref="H45:J45"/>
    <mergeCell ref="A38:E38"/>
    <mergeCell ref="F38:G38"/>
    <mergeCell ref="H38:J38"/>
    <mergeCell ref="A39:E39"/>
    <mergeCell ref="F39:G39"/>
    <mergeCell ref="H39:J39"/>
    <mergeCell ref="A40:E40"/>
    <mergeCell ref="F40:G40"/>
    <mergeCell ref="H40:J40"/>
    <mergeCell ref="A35:E35"/>
    <mergeCell ref="F35:G35"/>
    <mergeCell ref="H35:J35"/>
    <mergeCell ref="A36:E36"/>
    <mergeCell ref="F36:G36"/>
    <mergeCell ref="H36:J36"/>
    <mergeCell ref="A37:E37"/>
    <mergeCell ref="F37:G37"/>
    <mergeCell ref="H37:J37"/>
    <mergeCell ref="A30:E30"/>
    <mergeCell ref="F30:G30"/>
    <mergeCell ref="H30:J30"/>
    <mergeCell ref="A31:E31"/>
    <mergeCell ref="F31:G31"/>
    <mergeCell ref="H31:J31"/>
    <mergeCell ref="A33:J33"/>
    <mergeCell ref="A34:E34"/>
    <mergeCell ref="F34:G34"/>
    <mergeCell ref="H34:J34"/>
    <mergeCell ref="A27:E27"/>
    <mergeCell ref="F27:G27"/>
    <mergeCell ref="H27:J27"/>
    <mergeCell ref="A28:E28"/>
    <mergeCell ref="F28:G28"/>
    <mergeCell ref="H28:J28"/>
    <mergeCell ref="A29:E29"/>
    <mergeCell ref="F29:G29"/>
    <mergeCell ref="H29:J29"/>
    <mergeCell ref="A22:D22"/>
    <mergeCell ref="E22:F22"/>
    <mergeCell ref="I22:J22"/>
    <mergeCell ref="A24:J24"/>
    <mergeCell ref="A25:E25"/>
    <mergeCell ref="F25:G25"/>
    <mergeCell ref="H25:J25"/>
    <mergeCell ref="A26:E26"/>
    <mergeCell ref="F26:G26"/>
    <mergeCell ref="H26:J26"/>
    <mergeCell ref="A17:J17"/>
    <mergeCell ref="A18:D18"/>
    <mergeCell ref="I18:J18"/>
    <mergeCell ref="A19:D19"/>
    <mergeCell ref="I19:J19"/>
    <mergeCell ref="A20:D20"/>
    <mergeCell ref="I20:J20"/>
    <mergeCell ref="A21:D21"/>
    <mergeCell ref="E21:F21"/>
    <mergeCell ref="I21:J21"/>
    <mergeCell ref="A13:E13"/>
    <mergeCell ref="F13:G13"/>
    <mergeCell ref="H13:J13"/>
    <mergeCell ref="A14:E14"/>
    <mergeCell ref="F14:G14"/>
    <mergeCell ref="H14:J14"/>
    <mergeCell ref="A15:E15"/>
    <mergeCell ref="F15:G15"/>
    <mergeCell ref="H15:J15"/>
    <mergeCell ref="A10:E10"/>
    <mergeCell ref="F10:G10"/>
    <mergeCell ref="H10:J10"/>
    <mergeCell ref="A11:E11"/>
    <mergeCell ref="F11:G11"/>
    <mergeCell ref="H11:J11"/>
    <mergeCell ref="A12:E12"/>
    <mergeCell ref="F12:G12"/>
    <mergeCell ref="H12:J12"/>
    <mergeCell ref="A7:E7"/>
    <mergeCell ref="F7:G7"/>
    <mergeCell ref="H7:J7"/>
    <mergeCell ref="A8:E8"/>
    <mergeCell ref="F8:G8"/>
    <mergeCell ref="H8:J8"/>
    <mergeCell ref="A9:E9"/>
    <mergeCell ref="F9:G9"/>
    <mergeCell ref="H9:J9"/>
    <mergeCell ref="A1:J1"/>
    <mergeCell ref="A2:J2"/>
    <mergeCell ref="A4:J4"/>
    <mergeCell ref="A5:E5"/>
    <mergeCell ref="F5:G5"/>
    <mergeCell ref="H5:J5"/>
    <mergeCell ref="A6:E6"/>
    <mergeCell ref="F6:G6"/>
    <mergeCell ref="H6:J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FA3"/>
  </sheetPr>
  <dimension ref="A1:H23"/>
  <sheetViews>
    <sheetView showGridLines="0" zoomScaleNormal="100" workbookViewId="0">
      <selection sqref="A1:H1"/>
    </sheetView>
  </sheetViews>
  <sheetFormatPr defaultColWidth="8.6640625" defaultRowHeight="14.4" x14ac:dyDescent="0.3"/>
  <cols>
    <col min="1" max="1" width="28" customWidth="1"/>
    <col min="2" max="2" width="16" customWidth="1"/>
    <col min="3" max="3" width="20" customWidth="1"/>
    <col min="4" max="4" width="16" customWidth="1"/>
    <col min="5" max="6" width="14" customWidth="1"/>
    <col min="7" max="7" width="12" customWidth="1"/>
    <col min="8" max="8" width="24" customWidth="1"/>
  </cols>
  <sheetData>
    <row r="1" spans="1:8" ht="39.75" customHeight="1" x14ac:dyDescent="0.3">
      <c r="A1" s="71" t="s">
        <v>103</v>
      </c>
      <c r="B1" s="71"/>
      <c r="C1" s="71"/>
      <c r="D1" s="71"/>
      <c r="E1" s="71"/>
      <c r="F1" s="71"/>
      <c r="G1" s="71"/>
      <c r="H1" s="71"/>
    </row>
    <row r="2" spans="1:8" ht="19.5" customHeight="1" x14ac:dyDescent="0.3">
      <c r="A2" s="72" t="s">
        <v>104</v>
      </c>
      <c r="B2" s="72"/>
      <c r="C2" s="72"/>
      <c r="D2" s="72"/>
      <c r="E2" s="72"/>
      <c r="F2" s="72"/>
      <c r="G2" s="72"/>
      <c r="H2" s="72"/>
    </row>
    <row r="3" spans="1:8" ht="9.75" customHeight="1" x14ac:dyDescent="0.3"/>
    <row r="4" spans="1:8" ht="27.75" customHeight="1" x14ac:dyDescent="0.3">
      <c r="A4" s="73" t="s">
        <v>105</v>
      </c>
      <c r="B4" s="73"/>
      <c r="C4" s="73"/>
      <c r="D4" s="73"/>
      <c r="E4" s="73"/>
      <c r="F4" s="73"/>
      <c r="G4" s="73"/>
      <c r="H4" s="73"/>
    </row>
    <row r="5" spans="1:8" ht="36" customHeight="1" x14ac:dyDescent="0.3">
      <c r="A5" s="28" t="s">
        <v>106</v>
      </c>
      <c r="B5" s="28" t="s">
        <v>107</v>
      </c>
      <c r="C5" s="28" t="s">
        <v>108</v>
      </c>
      <c r="D5" s="28" t="s">
        <v>109</v>
      </c>
      <c r="E5" s="28" t="s">
        <v>110</v>
      </c>
      <c r="F5" s="28" t="s">
        <v>111</v>
      </c>
      <c r="G5" s="28" t="s">
        <v>112</v>
      </c>
      <c r="H5" s="28" t="s">
        <v>113</v>
      </c>
    </row>
    <row r="6" spans="1:8" ht="21.75" customHeight="1" x14ac:dyDescent="0.3">
      <c r="A6" s="29" t="s">
        <v>114</v>
      </c>
      <c r="B6" s="30" t="s">
        <v>115</v>
      </c>
      <c r="C6" s="30" t="s">
        <v>116</v>
      </c>
      <c r="D6" s="30" t="s">
        <v>117</v>
      </c>
      <c r="E6" s="31" t="s">
        <v>118</v>
      </c>
      <c r="F6" s="30" t="s">
        <v>119</v>
      </c>
      <c r="G6" s="30" t="s">
        <v>120</v>
      </c>
      <c r="H6" s="30" t="s">
        <v>121</v>
      </c>
    </row>
    <row r="7" spans="1:8" ht="21.75" customHeight="1" x14ac:dyDescent="0.3">
      <c r="A7" s="32" t="s">
        <v>122</v>
      </c>
      <c r="B7" s="33" t="s">
        <v>123</v>
      </c>
      <c r="C7" s="33" t="s">
        <v>124</v>
      </c>
      <c r="D7" s="33" t="s">
        <v>125</v>
      </c>
      <c r="E7" s="34" t="s">
        <v>126</v>
      </c>
      <c r="F7" s="33" t="s">
        <v>127</v>
      </c>
      <c r="G7" s="33" t="s">
        <v>120</v>
      </c>
      <c r="H7" s="33" t="s">
        <v>128</v>
      </c>
    </row>
    <row r="8" spans="1:8" ht="21.75" customHeight="1" x14ac:dyDescent="0.3">
      <c r="A8" s="29" t="s">
        <v>129</v>
      </c>
      <c r="B8" s="30" t="s">
        <v>130</v>
      </c>
      <c r="C8" s="30" t="s">
        <v>131</v>
      </c>
      <c r="D8" s="30" t="s">
        <v>132</v>
      </c>
      <c r="E8" s="31" t="s">
        <v>133</v>
      </c>
      <c r="F8" s="30" t="s">
        <v>134</v>
      </c>
      <c r="G8" s="30" t="s">
        <v>135</v>
      </c>
      <c r="H8" s="30" t="s">
        <v>121</v>
      </c>
    </row>
    <row r="9" spans="1:8" ht="21.75" customHeight="1" x14ac:dyDescent="0.3">
      <c r="A9" s="32" t="s">
        <v>136</v>
      </c>
      <c r="B9" s="33" t="s">
        <v>137</v>
      </c>
      <c r="C9" s="33" t="s">
        <v>138</v>
      </c>
      <c r="D9" s="33" t="s">
        <v>139</v>
      </c>
      <c r="E9" s="34" t="s">
        <v>140</v>
      </c>
      <c r="F9" s="33" t="s">
        <v>141</v>
      </c>
      <c r="G9" s="33" t="s">
        <v>135</v>
      </c>
      <c r="H9" s="33" t="s">
        <v>142</v>
      </c>
    </row>
    <row r="10" spans="1:8" ht="21.75" customHeight="1" x14ac:dyDescent="0.3">
      <c r="A10" s="29" t="s">
        <v>143</v>
      </c>
      <c r="B10" s="30" t="s">
        <v>144</v>
      </c>
      <c r="C10" s="30" t="s">
        <v>132</v>
      </c>
      <c r="D10" s="30" t="s">
        <v>145</v>
      </c>
      <c r="E10" s="31" t="s">
        <v>146</v>
      </c>
      <c r="F10" s="30" t="s">
        <v>127</v>
      </c>
      <c r="G10" s="30" t="s">
        <v>120</v>
      </c>
      <c r="H10" s="30" t="s">
        <v>147</v>
      </c>
    </row>
    <row r="11" spans="1:8" ht="21.75" customHeight="1" x14ac:dyDescent="0.3">
      <c r="A11" s="32" t="s">
        <v>148</v>
      </c>
      <c r="B11" s="33" t="s">
        <v>149</v>
      </c>
      <c r="C11" s="33" t="s">
        <v>150</v>
      </c>
      <c r="D11" s="33" t="s">
        <v>132</v>
      </c>
      <c r="E11" s="34" t="s">
        <v>151</v>
      </c>
      <c r="F11" s="33" t="s">
        <v>134</v>
      </c>
      <c r="G11" s="33" t="s">
        <v>135</v>
      </c>
      <c r="H11" s="33" t="s">
        <v>152</v>
      </c>
    </row>
    <row r="12" spans="1:8" ht="21.75" customHeight="1" x14ac:dyDescent="0.3">
      <c r="A12" s="29" t="s">
        <v>153</v>
      </c>
      <c r="B12" s="30" t="s">
        <v>154</v>
      </c>
      <c r="C12" s="30" t="s">
        <v>155</v>
      </c>
      <c r="D12" s="30" t="s">
        <v>156</v>
      </c>
      <c r="E12" s="31" t="s">
        <v>157</v>
      </c>
      <c r="F12" s="30" t="s">
        <v>158</v>
      </c>
      <c r="G12" s="30" t="s">
        <v>135</v>
      </c>
      <c r="H12" s="30" t="s">
        <v>159</v>
      </c>
    </row>
    <row r="13" spans="1:8" ht="21.75" customHeight="1" x14ac:dyDescent="0.3">
      <c r="A13" s="32" t="s">
        <v>160</v>
      </c>
      <c r="B13" s="33" t="s">
        <v>123</v>
      </c>
      <c r="C13" s="33" t="s">
        <v>125</v>
      </c>
      <c r="D13" s="33" t="s">
        <v>139</v>
      </c>
      <c r="E13" s="34" t="s">
        <v>161</v>
      </c>
      <c r="F13" s="33" t="s">
        <v>162</v>
      </c>
      <c r="G13" s="33" t="s">
        <v>120</v>
      </c>
      <c r="H13" s="33" t="s">
        <v>163</v>
      </c>
    </row>
    <row r="14" spans="1:8" ht="21.75" customHeight="1" x14ac:dyDescent="0.3">
      <c r="A14" s="29" t="s">
        <v>164</v>
      </c>
      <c r="B14" s="30" t="s">
        <v>165</v>
      </c>
      <c r="C14" s="30" t="s">
        <v>116</v>
      </c>
      <c r="D14" s="30" t="s">
        <v>166</v>
      </c>
      <c r="E14" s="31" t="s">
        <v>126</v>
      </c>
      <c r="F14" s="30" t="s">
        <v>167</v>
      </c>
      <c r="G14" s="30" t="s">
        <v>168</v>
      </c>
      <c r="H14" s="30" t="s">
        <v>169</v>
      </c>
    </row>
    <row r="15" spans="1:8" ht="21.75" customHeight="1" x14ac:dyDescent="0.3">
      <c r="A15" s="32" t="s">
        <v>170</v>
      </c>
      <c r="B15" s="33" t="s">
        <v>171</v>
      </c>
      <c r="C15" s="33" t="s">
        <v>172</v>
      </c>
      <c r="D15" s="33" t="s">
        <v>173</v>
      </c>
      <c r="E15" s="34" t="s">
        <v>157</v>
      </c>
      <c r="F15" s="33" t="s">
        <v>174</v>
      </c>
      <c r="G15" s="33" t="s">
        <v>168</v>
      </c>
      <c r="H15" s="33" t="s">
        <v>175</v>
      </c>
    </row>
    <row r="17" spans="1:8" ht="12" customHeight="1" x14ac:dyDescent="0.3"/>
    <row r="18" spans="1:8" ht="27.75" customHeight="1" x14ac:dyDescent="0.3">
      <c r="A18" s="74" t="s">
        <v>176</v>
      </c>
      <c r="B18" s="74"/>
      <c r="C18" s="74"/>
      <c r="D18" s="74"/>
      <c r="E18" s="74"/>
      <c r="F18" s="74"/>
      <c r="G18" s="74"/>
      <c r="H18" s="74"/>
    </row>
    <row r="19" spans="1:8" ht="24" customHeight="1" x14ac:dyDescent="0.3">
      <c r="A19" s="35" t="s">
        <v>177</v>
      </c>
      <c r="B19" s="35" t="s">
        <v>178</v>
      </c>
      <c r="C19" s="35" t="s">
        <v>179</v>
      </c>
      <c r="D19" s="35" t="s">
        <v>180</v>
      </c>
    </row>
    <row r="20" spans="1:8" ht="24" customHeight="1" x14ac:dyDescent="0.3">
      <c r="A20" s="36" t="s">
        <v>181</v>
      </c>
      <c r="B20" s="37">
        <f>'🧮 ROI Calculator'!G40</f>
        <v>0</v>
      </c>
      <c r="C20" s="38" t="s">
        <v>182</v>
      </c>
      <c r="D20" s="39" t="str">
        <f>IFERROR(IF('🧮 ROI Calculator'!G40&gt;=1,"🟢 Above benchmark",IF('🧮 ROI Calculator'!G40&gt;=0.5,"🟡 Near benchmark","🔴 Below benchmark")),"⚪ No data")</f>
        <v>🔴 Below benchmark</v>
      </c>
    </row>
    <row r="21" spans="1:8" ht="24" customHeight="1" x14ac:dyDescent="0.3">
      <c r="A21" s="17" t="s">
        <v>183</v>
      </c>
      <c r="B21" s="40">
        <f>'🧮 ROI Calculator'!G41</f>
        <v>0</v>
      </c>
      <c r="C21" s="41" t="s">
        <v>184</v>
      </c>
      <c r="D21" s="42" t="str">
        <f>IFERROR(IF('🧮 ROI Calculator'!G41=0,"⚪ No data",IF('🧮 ROI Calculator'!G41&lt;=8,"🟢 At or above benchmark",IF('🧮 ROI Calculator'!G41&lt;=12,"🟡 Near benchmark","🔴 Below benchmark"))),"⚪ No data")</f>
        <v>⚪ No data</v>
      </c>
    </row>
    <row r="22" spans="1:8" ht="24" customHeight="1" x14ac:dyDescent="0.3">
      <c r="A22" s="36" t="s">
        <v>185</v>
      </c>
      <c r="B22" s="43">
        <f>'🧮 ROI Calculator'!G37</f>
        <v>0</v>
      </c>
      <c r="C22" s="38" t="s">
        <v>186</v>
      </c>
      <c r="D22" s="39" t="str">
        <f>IFERROR(IF('🧮 ROI Calculator'!G37=0,"⚪ No data","ℹ️ Compare to your project scale"),"⚪ No data")</f>
        <v>⚪ No data</v>
      </c>
    </row>
    <row r="23" spans="1:8" ht="24" customHeight="1" x14ac:dyDescent="0.3">
      <c r="A23" s="17" t="s">
        <v>187</v>
      </c>
      <c r="B23" s="43">
        <f>'🧮 ROI Calculator'!G42</f>
        <v>0</v>
      </c>
      <c r="C23" s="41" t="s">
        <v>188</v>
      </c>
      <c r="D23" s="42" t="str">
        <f>IFERROR(IF('🧮 ROI Calculator'!G42=0,"⚪ No data","ℹ️ Compare to your project scale"),"⚪ No data")</f>
        <v>⚪ No data</v>
      </c>
    </row>
  </sheetData>
  <mergeCells count="4">
    <mergeCell ref="A1:H1"/>
    <mergeCell ref="A2:H2"/>
    <mergeCell ref="A4:H4"/>
    <mergeCell ref="A18:H1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07C10"/>
  </sheetPr>
  <dimension ref="A1:F21"/>
  <sheetViews>
    <sheetView showGridLines="0" tabSelected="1" zoomScaleNormal="100" workbookViewId="0">
      <selection activeCell="C8" sqref="C8:F8"/>
    </sheetView>
  </sheetViews>
  <sheetFormatPr defaultColWidth="8.6640625" defaultRowHeight="14.4" x14ac:dyDescent="0.3"/>
  <cols>
    <col min="1" max="1" width="20" customWidth="1"/>
    <col min="2" max="6" width="16" customWidth="1"/>
  </cols>
  <sheetData>
    <row r="1" spans="1:6" ht="39.75" customHeight="1" x14ac:dyDescent="0.3">
      <c r="A1" s="75" t="s">
        <v>189</v>
      </c>
      <c r="B1" s="75"/>
      <c r="C1" s="75"/>
      <c r="D1" s="75"/>
      <c r="E1" s="75"/>
      <c r="F1" s="75"/>
    </row>
    <row r="2" spans="1:6" ht="19.5" customHeight="1" x14ac:dyDescent="0.3">
      <c r="A2" s="76" t="s">
        <v>190</v>
      </c>
      <c r="B2" s="76"/>
      <c r="C2" s="76"/>
      <c r="D2" s="76"/>
      <c r="E2" s="76"/>
      <c r="F2" s="76"/>
    </row>
    <row r="3" spans="1:6" ht="7.5" customHeight="1" x14ac:dyDescent="0.3"/>
    <row r="4" spans="1:6" ht="25.5" customHeight="1" x14ac:dyDescent="0.3">
      <c r="A4" s="9" t="s">
        <v>191</v>
      </c>
      <c r="B4" s="9"/>
      <c r="C4" s="9"/>
      <c r="D4" s="9"/>
      <c r="E4" s="9"/>
      <c r="F4" s="9"/>
    </row>
    <row r="5" spans="1:6" ht="24" customHeight="1" x14ac:dyDescent="0.3">
      <c r="A5" s="77" t="s">
        <v>31</v>
      </c>
      <c r="B5" s="77"/>
      <c r="C5" s="78">
        <f>'🧮 ROI Calculator'!F6</f>
        <v>0</v>
      </c>
      <c r="D5" s="78"/>
      <c r="E5" s="78"/>
      <c r="F5" s="78"/>
    </row>
    <row r="6" spans="1:6" ht="24" customHeight="1" x14ac:dyDescent="0.3">
      <c r="A6" s="77" t="s">
        <v>192</v>
      </c>
      <c r="B6" s="77"/>
      <c r="C6" s="79">
        <f>'🧮 ROI Calculator'!F7</f>
        <v>0</v>
      </c>
      <c r="D6" s="79"/>
      <c r="E6" s="79"/>
      <c r="F6" s="79"/>
    </row>
    <row r="7" spans="1:6" ht="24" customHeight="1" x14ac:dyDescent="0.3">
      <c r="A7" s="77" t="s">
        <v>193</v>
      </c>
      <c r="B7" s="77"/>
      <c r="C7" s="80"/>
      <c r="D7" s="80"/>
      <c r="E7" s="80"/>
      <c r="F7" s="80"/>
    </row>
    <row r="8" spans="1:6" ht="24" customHeight="1" x14ac:dyDescent="0.3">
      <c r="A8" s="77" t="s">
        <v>194</v>
      </c>
      <c r="B8" s="77"/>
      <c r="C8" s="81">
        <f ca="1">TODAY()</f>
        <v>46155</v>
      </c>
      <c r="D8" s="81"/>
      <c r="E8" s="81"/>
      <c r="F8" s="81"/>
    </row>
    <row r="9" spans="1:6" ht="9.75" customHeight="1" x14ac:dyDescent="0.3"/>
    <row r="10" spans="1:6" ht="25.5" customHeight="1" x14ac:dyDescent="0.3">
      <c r="A10" s="82" t="s">
        <v>195</v>
      </c>
      <c r="B10" s="82"/>
      <c r="C10" s="82"/>
      <c r="D10" s="82"/>
      <c r="E10" s="82"/>
      <c r="F10" s="82"/>
    </row>
    <row r="11" spans="1:6" ht="31.5" customHeight="1" x14ac:dyDescent="0.3">
      <c r="A11" s="77" t="s">
        <v>196</v>
      </c>
      <c r="B11" s="77"/>
      <c r="C11" s="77"/>
      <c r="D11" s="83">
        <f>'🧮 ROI Calculator'!G37</f>
        <v>0</v>
      </c>
      <c r="E11" s="83"/>
      <c r="F11" s="83"/>
    </row>
    <row r="12" spans="1:6" ht="31.5" customHeight="1" x14ac:dyDescent="0.3">
      <c r="A12" s="77" t="s">
        <v>197</v>
      </c>
      <c r="B12" s="77"/>
      <c r="C12" s="77"/>
      <c r="D12" s="84">
        <f>'🧮 ROI Calculator'!F30</f>
        <v>0</v>
      </c>
      <c r="E12" s="84"/>
      <c r="F12" s="84"/>
    </row>
    <row r="13" spans="1:6" ht="31.5" customHeight="1" x14ac:dyDescent="0.3">
      <c r="A13" s="77" t="s">
        <v>198</v>
      </c>
      <c r="B13" s="77"/>
      <c r="C13" s="77"/>
      <c r="D13" s="83">
        <f>'🧮 ROI Calculator'!G38</f>
        <v>0</v>
      </c>
      <c r="E13" s="83"/>
      <c r="F13" s="83"/>
    </row>
    <row r="14" spans="1:6" ht="31.5" customHeight="1" x14ac:dyDescent="0.3">
      <c r="A14" s="77" t="s">
        <v>181</v>
      </c>
      <c r="B14" s="77"/>
      <c r="C14" s="77"/>
      <c r="D14" s="85">
        <f>'🧮 ROI Calculator'!G40</f>
        <v>0</v>
      </c>
      <c r="E14" s="85"/>
      <c r="F14" s="85"/>
    </row>
    <row r="15" spans="1:6" ht="31.5" customHeight="1" x14ac:dyDescent="0.3">
      <c r="A15" s="77" t="s">
        <v>183</v>
      </c>
      <c r="B15" s="77"/>
      <c r="C15" s="77"/>
      <c r="D15" s="86">
        <f>'🧮 ROI Calculator'!G41</f>
        <v>0</v>
      </c>
      <c r="E15" s="86"/>
      <c r="F15" s="86"/>
    </row>
    <row r="16" spans="1:6" ht="31.5" customHeight="1" x14ac:dyDescent="0.3">
      <c r="A16" s="77" t="s">
        <v>187</v>
      </c>
      <c r="B16" s="77"/>
      <c r="C16" s="77"/>
      <c r="D16" s="83">
        <f>'🧮 ROI Calculator'!G42</f>
        <v>0</v>
      </c>
      <c r="E16" s="83"/>
      <c r="F16" s="83"/>
    </row>
    <row r="17" spans="1:6" ht="9.75" customHeight="1" x14ac:dyDescent="0.3"/>
    <row r="18" spans="1:6" ht="25.5" customHeight="1" x14ac:dyDescent="0.3">
      <c r="A18" s="9" t="s">
        <v>199</v>
      </c>
      <c r="B18" s="9"/>
      <c r="C18" s="9"/>
      <c r="D18" s="9"/>
      <c r="E18" s="9"/>
      <c r="F18" s="9"/>
    </row>
    <row r="19" spans="1:6" ht="60" customHeight="1" x14ac:dyDescent="0.3">
      <c r="A19" s="87" t="s">
        <v>201</v>
      </c>
      <c r="B19" s="87"/>
      <c r="C19" s="87"/>
      <c r="D19" s="87"/>
      <c r="E19" s="87"/>
      <c r="F19" s="87"/>
    </row>
    <row r="20" spans="1:6" ht="9.75" customHeight="1" x14ac:dyDescent="0.3"/>
    <row r="21" spans="1:6" x14ac:dyDescent="0.3">
      <c r="A21" s="7" t="s">
        <v>200</v>
      </c>
      <c r="B21" s="7"/>
      <c r="C21" s="7"/>
      <c r="D21" s="7"/>
      <c r="E21" s="7"/>
      <c r="F21" s="7"/>
    </row>
  </sheetData>
  <mergeCells count="27">
    <mergeCell ref="A16:C16"/>
    <mergeCell ref="D16:F16"/>
    <mergeCell ref="A18:F18"/>
    <mergeCell ref="A19:F19"/>
    <mergeCell ref="A21:F21"/>
    <mergeCell ref="A13:C13"/>
    <mergeCell ref="D13:F13"/>
    <mergeCell ref="A14:C14"/>
    <mergeCell ref="D14:F14"/>
    <mergeCell ref="A15:C15"/>
    <mergeCell ref="D15:F15"/>
    <mergeCell ref="A10:F10"/>
    <mergeCell ref="A11:C11"/>
    <mergeCell ref="D11:F11"/>
    <mergeCell ref="A12:C12"/>
    <mergeCell ref="D12:F12"/>
    <mergeCell ref="A6:B6"/>
    <mergeCell ref="C6:F6"/>
    <mergeCell ref="A7:B7"/>
    <mergeCell ref="C7:F7"/>
    <mergeCell ref="A8:B8"/>
    <mergeCell ref="C8:F8"/>
    <mergeCell ref="A1:F1"/>
    <mergeCell ref="A2:F2"/>
    <mergeCell ref="A4:F4"/>
    <mergeCell ref="A5:B5"/>
    <mergeCell ref="C5:F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📋 Instructions</vt:lpstr>
      <vt:lpstr>🧮 ROI Calculator</vt:lpstr>
      <vt:lpstr>📊 Benchmark Data</vt:lpstr>
      <vt:lpstr>📄 Executive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Fakhrul Syahmi</cp:lastModifiedBy>
  <cp:revision>0</cp:revision>
  <dcterms:created xsi:type="dcterms:W3CDTF">2026-05-12T17:40:28Z</dcterms:created>
  <dcterms:modified xsi:type="dcterms:W3CDTF">2026-05-12T17:46:19Z</dcterms:modified>
  <dc:language>en-US</dc:language>
</cp:coreProperties>
</file>